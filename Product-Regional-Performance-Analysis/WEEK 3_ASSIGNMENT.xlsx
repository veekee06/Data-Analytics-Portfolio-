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DYBON\Downloads\"/>
    </mc:Choice>
  </mc:AlternateContent>
  <xr:revisionPtr revIDLastSave="0" documentId="8_{2A71C6B7-B03A-4D54-874D-075060829ED8}" xr6:coauthVersionLast="47" xr6:coauthVersionMax="47" xr10:uidLastSave="{00000000-0000-0000-0000-000000000000}"/>
  <bookViews>
    <workbookView xWindow="-108" yWindow="-108" windowWidth="23256" windowHeight="12576" activeTab="2" xr2:uid="{865E89FE-D67A-400A-8FBF-D14B49F2C29E}"/>
  </bookViews>
  <sheets>
    <sheet name="retail_sales_dataset" sheetId="1" r:id="rId1"/>
    <sheet name="PIVOT CHART" sheetId="3" r:id="rId2"/>
    <sheet name="DASHBOARD (CHARTS)" sheetId="4" r:id="rId3"/>
    <sheet name="Sheet6" sheetId="7" r:id="rId4"/>
  </sheets>
  <calcPr calcId="181029"/>
  <pivotCaches>
    <pivotCache cacheId="6" r:id="rId5"/>
    <pivotCache cacheId="7" r:id="rId6"/>
    <pivotCache cacheId="8" r:id="rId7"/>
    <pivotCache cacheId="9" r:id="rId8"/>
  </pivotCaches>
</workbook>
</file>

<file path=xl/calcChain.xml><?xml version="1.0" encoding="utf-8"?>
<calcChain xmlns="http://schemas.openxmlformats.org/spreadsheetml/2006/main">
  <c r="M2" i="3" l="1"/>
  <c r="Q6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<sst xmlns="http://schemas.openxmlformats.org/spreadsheetml/2006/main" count="3074" uniqueCount="1045">
  <si>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</si>
  <si>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</si>
  <si>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</si>
  <si>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</si>
  <si>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</si>
  <si>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</si>
  <si>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</si>
  <si>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</si>
  <si>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</si>
  <si>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DATE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</si>
  <si>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</si>
  <si>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</si>
  <si>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</si>
  <si>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</si>
  <si>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</si>
  <si>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</si>
  <si>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</si>
  <si>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</si>
  <si>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</si>
  <si>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</si>
  <si>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</si>
  <si>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</si>
  <si>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</si>
  <si>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</si>
  <si>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</si>
  <si>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</si>
  <si>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</si>
  <si>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</si>
  <si>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</si>
  <si>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</si>
  <si>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</si>
  <si>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</si>
  <si>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</si>
  <si>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</si>
  <si>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</si>
  <si>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</si>
  <si>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</si>
  <si>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</si>
  <si>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</si>
  <si>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</si>
  <si>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</si>
  <si>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</si>
  <si>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</si>
  <si>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</si>
  <si>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</si>
  <si>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</si>
  <si>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</si>
  <si>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</si>
  <si>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</si>
  <si>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</si>
  <si>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</si>
  <si>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</si>
  <si>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</si>
  <si>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</si>
  <si>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</si>
  <si>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</si>
  <si>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</si>
  <si>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</si>
  <si>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</si>
  <si>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</si>
  <si>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</si>
  <si>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</si>
  <si>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</si>
  <si>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</si>
  <si>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</si>
  <si>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</si>
  <si>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</si>
  <si>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</si>
  <si>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</si>
  <si>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</si>
  <si>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</si>
  <si>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</si>
  <si>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</si>
  <si>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</si>
  <si>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</si>
  <si>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</si>
  <si>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</si>
  <si>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</si>
  <si>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</si>
  <si>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</si>
  <si>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</si>
  <si>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</si>
  <si>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</si>
  <si>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</si>
  <si>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</si>
  <si>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</si>
  <si>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</si>
  <si>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</si>
  <si>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</si>
  <si>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</si>
  <si>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</si>
  <si>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</si>
  <si>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</si>
  <si>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</si>
  <si>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</si>
  <si>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</si>
  <si>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</si>
  <si>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</si>
  <si>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</si>
  <si>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</si>
  <si>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</si>
  <si>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</si>
  <si>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</si>
  <si>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</si>
  <si>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</si>
  <si>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</si>
  <si>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</si>
  <si>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</si>
  <si>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</si>
  <si>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</si>
  <si>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</si>
  <si>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</si>
  <si>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</si>
  <si>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</si>
  <si>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</si>
  <si>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</si>
  <si>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</si>
  <si>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</si>
  <si>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</si>
  <si>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</si>
  <si>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</si>
  <si>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</si>
  <si>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</si>
  <si>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</si>
  <si>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</si>
  <si>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</si>
  <si>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</si>
  <si>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</si>
  <si>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</si>
  <si>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</si>
  <si>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</si>
  <si>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</si>
  <si>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</si>
  <si>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</si>
  <si>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</si>
  <si>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</si>
  <si>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</si>
  <si>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</si>
  <si>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</si>
  <si>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</si>
  <si>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</si>
  <si>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</si>
  <si>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</si>
  <si>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</si>
  <si>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</si>
  <si>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</si>
  <si>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</si>
  <si>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</si>
  <si>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</si>
  <si>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</si>
  <si>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</si>
  <si>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</si>
  <si>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</si>
  <si>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</si>
  <si>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</si>
  <si>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</si>
  <si>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</si>
  <si>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</si>
  <si>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</si>
  <si>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</si>
  <si>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</si>
  <si>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</si>
  <si>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</si>
  <si>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</si>
  <si>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</si>
  <si>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</si>
  <si>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</si>
  <si>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</si>
  <si>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</si>
  <si>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</si>
  <si>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</si>
  <si>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</si>
  <si>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</si>
  <si>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</si>
  <si>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</si>
  <si>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</si>
  <si>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</si>
  <si>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</si>
  <si>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</si>
  <si>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</si>
  <si>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</si>
  <si>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</si>
  <si>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</si>
  <si>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</si>
  <si>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</si>
  <si>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</si>
  <si>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</si>
  <si>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</si>
  <si>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</si>
  <si>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</si>
  <si>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</si>
  <si>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</si>
  <si>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</si>
  <si>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</si>
  <si>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</si>
  <si>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</si>
  <si>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</si>
  <si>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</si>
  <si>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</si>
  <si>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</si>
  <si>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</si>
  <si>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</si>
  <si>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</si>
  <si>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</si>
  <si>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</si>
  <si>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</si>
  <si>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</si>
  <si>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</si>
  <si>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</si>
  <si>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</si>
  <si>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</si>
  <si>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</si>
  <si>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</si>
  <si>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</si>
  <si>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</si>
  <si>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</si>
  <si>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</si>
  <si>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</si>
  <si>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</si>
  <si>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</si>
  <si>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</si>
  <si>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</si>
  <si>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</si>
  <si>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</si>
  <si>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</si>
  <si>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</si>
  <si>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</si>
  <si>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</si>
  <si>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</si>
  <si>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</si>
  <si>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</si>
  <si>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</si>
  <si>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</si>
  <si>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</si>
  <si>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</si>
  <si>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</si>
  <si>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</si>
  <si>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</si>
  <si>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</si>
  <si>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</si>
  <si>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</si>
  <si>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</si>
  <si>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</si>
  <si>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</si>
  <si>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</si>
  <si>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</si>
  <si>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</si>
  <si>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</si>
  <si>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</si>
  <si>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</si>
  <si>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</si>
  <si>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</si>
  <si>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</si>
  <si>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</si>
  <si>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</si>
  <si>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</si>
  <si>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</si>
  <si>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</si>
  <si>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</si>
  <si>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</si>
  <si>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</si>
  <si>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</si>
  <si>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</si>
  <si>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</si>
  <si>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</si>
  <si>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</si>
  <si>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</si>
  <si>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</si>
  <si>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</si>
  <si>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</si>
  <si>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</si>
  <si>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</si>
  <si>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</si>
  <si>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</si>
  <si>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</si>
  <si>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</si>
  <si>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</si>
  <si>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</si>
  <si>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</si>
  <si>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</si>
  <si>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</si>
  <si>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</si>
  <si>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</si>
  <si>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</si>
  <si>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</si>
  <si>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</si>
  <si>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</si>
  <si>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</si>
  <si>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</si>
  <si>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</si>
  <si>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</si>
  <si>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</si>
  <si>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</si>
  <si>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</si>
  <si>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</si>
  <si>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</si>
  <si>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</si>
  <si>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</si>
  <si>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</si>
  <si>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</si>
  <si>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</si>
  <si>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</si>
  <si>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</si>
  <si>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</si>
  <si>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</si>
  <si>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</si>
  <si>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</si>
  <si>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</si>
  <si>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</si>
  <si>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</si>
  <si>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</si>
  <si>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</si>
  <si>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</si>
  <si>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</si>
  <si>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</si>
  <si>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</si>
  <si>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</si>
  <si>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</si>
  <si>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</si>
  <si>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</si>
  <si>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</si>
  <si>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</si>
  <si>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</si>
  <si>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</si>
  <si>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</si>
  <si>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</si>
  <si>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</si>
  <si>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</si>
  <si>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</si>
  <si>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</si>
  <si>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</si>
  <si>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</si>
  <si>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</si>
  <si>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</si>
  <si>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</si>
  <si>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</si>
  <si>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</si>
  <si>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</si>
  <si>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</si>
  <si>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</si>
  <si>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</si>
  <si>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</si>
  <si>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</si>
  <si>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</si>
  <si>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</si>
  <si>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</si>
  <si>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</si>
  <si>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</si>
  <si>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</si>
  <si>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</si>
  <si>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</si>
  <si>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</si>
  <si>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</si>
  <si>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</si>
  <si>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</si>
  <si>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</si>
  <si>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</si>
  <si>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</si>
  <si>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</si>
  <si>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</si>
  <si>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</si>
  <si>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</si>
  <si>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</si>
  <si>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</si>
  <si>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</si>
  <si>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</si>
  <si>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</si>
  <si>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</si>
  <si>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</si>
  <si>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</si>
  <si>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</si>
  <si>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</si>
  <si>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</si>
  <si>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</si>
  <si>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</si>
  <si>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</si>
  <si>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</si>
  <si>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</si>
  <si>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</si>
  <si>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</si>
  <si>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</si>
  <si>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</si>
  <si>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</si>
  <si>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</si>
  <si>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</si>
  <si>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</si>
  <si>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</si>
  <si>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</si>
  <si>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</si>
  <si>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</si>
  <si>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</si>
  <si>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</si>
  <si>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</si>
  <si>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</si>
  <si>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</si>
  <si>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</si>
  <si>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</si>
  <si>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</si>
  <si>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</si>
  <si>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</si>
  <si>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</si>
  <si>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</si>
  <si>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</si>
  <si>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</si>
  <si>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</si>
  <si>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</si>
  <si>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</si>
  <si>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</si>
  <si>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</si>
  <si>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</si>
  <si>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</si>
  <si>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</si>
  <si>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</si>
  <si>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</si>
  <si>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</si>
  <si>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</si>
  <si>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</si>
  <si>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</si>
  <si>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</si>
  <si>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</si>
  <si>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</si>
  <si>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</si>
  <si>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</si>
  <si>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</si>
  <si>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</si>
  <si>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</si>
  <si>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</si>
  <si>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</si>
  <si>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</si>
  <si>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</si>
  <si>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</si>
  <si>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</si>
  <si>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</si>
  <si>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</si>
  <si>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</si>
  <si>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</si>
  <si>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</si>
  <si>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</si>
  <si>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</si>
  <si>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</si>
  <si>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</si>
  <si>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</si>
  <si>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</si>
  <si>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</si>
  <si>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</si>
  <si>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</si>
  <si>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</si>
  <si>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</si>
  <si>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</si>
  <si>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</si>
  <si>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</si>
  <si>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</si>
  <si>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</si>
  <si>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</si>
  <si>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</si>
  <si>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</si>
  <si>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</si>
  <si>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</si>
  <si>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</si>
  <si>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</si>
  <si>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</si>
  <si>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</si>
  <si>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</si>
  <si>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</si>
  <si>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</si>
  <si>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</si>
  <si>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</si>
  <si>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</si>
  <si>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</si>
  <si>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</si>
  <si>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</si>
  <si>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</si>
  <si>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</si>
  <si>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</si>
  <si>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</si>
  <si>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</si>
  <si>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</si>
  <si>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</si>
  <si>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</si>
  <si>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</si>
  <si>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</si>
  <si>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</si>
  <si>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</si>
  <si>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</si>
  <si>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</si>
  <si>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</si>
  <si>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</si>
  <si>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</si>
  <si>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</si>
  <si>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</si>
  <si>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</si>
  <si>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</si>
  <si>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</si>
  <si>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</si>
  <si>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</si>
  <si>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</si>
  <si>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</si>
  <si>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</si>
  <si>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</si>
  <si>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</si>
  <si>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</si>
  <si>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</si>
  <si>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</si>
  <si>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</si>
  <si>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</si>
  <si>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</si>
  <si>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</si>
  <si>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</si>
  <si>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</si>
  <si>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</si>
  <si>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</si>
  <si>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</si>
  <si>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</si>
  <si>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</si>
  <si>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</si>
  <si>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</si>
  <si>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</si>
  <si>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</si>
  <si>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</si>
  <si>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</si>
  <si>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</si>
  <si>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</si>
  <si>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</si>
  <si>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</si>
  <si>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</si>
  <si>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</si>
  <si>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</si>
  <si>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</si>
  <si>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</si>
  <si>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</si>
  <si>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</si>
  <si>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</si>
  <si>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</si>
  <si>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</si>
  <si>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</si>
  <si>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</si>
  <si>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</si>
  <si>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</si>
  <si>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</si>
  <si>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</si>
  <si>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</si>
  <si>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</si>
  <si>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</si>
  <si>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</si>
  <si>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</si>
  <si>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</si>
  <si>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</si>
  <si>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</si>
  <si>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</si>
  <si>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</si>
  <si>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</si>
  <si>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</si>
  <si>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</si>
  <si>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</si>
  <si>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</si>
  <si>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</si>
  <si>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</si>
  <si>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</si>
  <si>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</si>
  <si>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</si>
  <si>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</si>
  <si>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</si>
  <si>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</si>
  <si>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</si>
  <si>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</si>
  <si>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</si>
  <si>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</si>
  <si>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</si>
  <si>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</si>
  <si>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</si>
  <si>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</si>
  <si>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</si>
  <si>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</si>
  <si>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</si>
  <si>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</si>
  <si>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</si>
  <si>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</si>
  <si>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</si>
  <si>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</si>
  <si>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</si>
  <si>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</si>
  <si>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</si>
  <si>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</si>
  <si>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</si>
  <si>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</si>
  <si>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</si>
  <si>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</si>
  <si>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</si>
  <si>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</si>
  <si>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</si>
  <si>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</si>
  <si>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</si>
  <si>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</si>
  <si>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</si>
  <si>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</si>
  <si>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</si>
  <si>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</si>
  <si>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</si>
  <si>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</si>
  <si>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</si>
  <si>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</si>
  <si>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</si>
  <si>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</si>
  <si>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</si>
  <si>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</si>
  <si>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</si>
  <si>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</si>
  <si>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</si>
  <si>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</si>
  <si>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</si>
  <si>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</si>
  <si>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</si>
  <si>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</si>
  <si>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</si>
  <si>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</si>
  <si>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</si>
  <si>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</si>
  <si>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</si>
  <si>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</si>
  <si>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</si>
  <si>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</si>
  <si>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</si>
  <si>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</si>
  <si>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</si>
  <si>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</si>
  <si>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</si>
  <si>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</si>
  <si>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</si>
  <si>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</si>
  <si>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</si>
  <si>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</si>
  <si>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</si>
  <si>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</si>
  <si>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</si>
  <si>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</si>
  <si>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</si>
  <si>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</si>
  <si>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</si>
  <si>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</si>
  <si>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</si>
  <si>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</si>
  <si>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</si>
  <si>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</si>
  <si>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</si>
  <si>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</si>
  <si>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</si>
  <si>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</si>
  <si>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</si>
  <si>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</si>
  <si>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</si>
  <si>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</si>
  <si>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</si>
  <si>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</si>
  <si>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</si>
  <si>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</si>
  <si>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</si>
  <si>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</si>
  <si>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</si>
  <si>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</si>
  <si>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</si>
  <si>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</si>
  <si>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</si>
  <si>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</si>
  <si>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</si>
  <si>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</si>
  <si>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</si>
  <si>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</si>
  <si>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</si>
  <si>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</si>
  <si>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</si>
  <si>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</si>
  <si>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</si>
  <si>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</si>
  <si>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</si>
  <si>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</si>
  <si>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</si>
  <si>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</si>
  <si>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</si>
  <si>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</si>
  <si>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</si>
  <si>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</si>
  <si>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</si>
  <si>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</si>
  <si>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</si>
  <si>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</si>
  <si>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</si>
  <si>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</si>
  <si>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</si>
  <si>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</si>
  <si>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</si>
  <si>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</si>
  <si>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</si>
  <si>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</si>
  <si>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</si>
  <si>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</si>
  <si>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</si>
  <si>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</si>
  <si>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</si>
  <si>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</si>
  <si>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</si>
  <si>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</si>
  <si>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</si>
  <si>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</si>
  <si>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</si>
  <si>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</si>
  <si>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</si>
  <si>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</si>
  <si>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</si>
  <si>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</si>
  <si>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</si>
  <si>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</si>
  <si>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</si>
  <si>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</si>
  <si>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</si>
  <si>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</si>
  <si>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</si>
  <si>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</si>
  <si>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</si>
  <si>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</si>
  <si>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</si>
  <si>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</si>
  <si>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</si>
  <si>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</si>
  <si>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</si>
  <si>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</si>
  <si>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</si>
  <si>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</si>
  <si>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</si>
  <si>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</si>
  <si>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</si>
  <si>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</si>
  <si>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</si>
  <si>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</si>
  <si>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</si>
  <si>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</si>
  <si>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</si>
  <si>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</si>
  <si>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</si>
  <si>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</si>
  <si>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</si>
  <si>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</si>
  <si>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</si>
  <si>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</si>
  <si>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</si>
  <si>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</si>
  <si>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</si>
  <si>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</si>
  <si>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</si>
  <si>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</si>
  <si>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</si>
  <si>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</si>
  <si>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</si>
  <si>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</si>
  <si>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</si>
  <si>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</si>
  <si>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</si>
  <si>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</si>
  <si>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</si>
  <si>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</si>
  <si>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</si>
  <si>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</si>
  <si>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</si>
  <si>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</si>
  <si>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</si>
  <si>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</si>
  <si>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</si>
  <si>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</si>
  <si>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</si>
  <si>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</si>
  <si>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</si>
  <si>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</si>
  <si>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</si>
  <si>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</si>
  <si>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</si>
  <si>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</si>
  <si>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</si>
  <si>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</si>
  <si>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</si>
  <si>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</si>
  <si>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</si>
  <si>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</si>
  <si>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</si>
  <si>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</si>
  <si>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</si>
  <si>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</si>
  <si>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</si>
  <si>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</si>
  <si>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</si>
  <si>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</si>
  <si>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</si>
  <si>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</si>
  <si>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</si>
  <si>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</si>
  <si>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</si>
  <si>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</si>
  <si>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</si>
  <si>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</si>
  <si>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</si>
  <si>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</si>
  <si>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</si>
  <si>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</si>
  <si>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</si>
  <si>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</si>
  <si>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</si>
  <si>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</si>
  <si>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</si>
  <si>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</si>
  <si>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</si>
  <si>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</si>
  <si>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</si>
  <si>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</si>
  <si>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</si>
  <si>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</si>
  <si>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</si>
  <si>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</si>
  <si>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</si>
  <si>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</si>
  <si>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</si>
  <si>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</si>
  <si>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</si>
  <si>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</si>
  <si>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</si>
  <si>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</si>
  <si>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</si>
  <si>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</si>
  <si>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</si>
  <si>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</si>
  <si>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</si>
  <si>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</si>
  <si>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</si>
  <si>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</si>
  <si>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</si>
  <si>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</si>
  <si>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</si>
  <si>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</si>
  <si>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</si>
  <si>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</si>
  <si>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</si>
  <si>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</si>
  <si>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</si>
  <si>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</si>
  <si>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</si>
  <si>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</si>
  <si>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</si>
  <si>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</si>
  <si>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</si>
  <si>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</si>
  <si>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</si>
  <si>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</si>
  <si>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</si>
  <si>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</si>
  <si>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</si>
  <si>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</si>
  <si>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</si>
  <si>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</si>
  <si>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</si>
  <si>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</si>
  <si>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</si>
  <si>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</si>
  <si>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</si>
  <si>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</si>
  <si>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</si>
  <si>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</si>
  <si>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</si>
  <si>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</si>
  <si>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</si>
  <si>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</si>
  <si>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</si>
  <si>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</si>
  <si>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</si>
  <si>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</si>
  <si>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</si>
  <si>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</si>
  <si>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</si>
  <si>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</si>
  <si>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</si>
  <si>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</si>
  <si>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</si>
  <si>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</si>
  <si>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</si>
  <si>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</si>
  <si>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</si>
  <si>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</si>
  <si>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</si>
  <si>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</si>
  <si>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</si>
  <si>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</si>
  <si>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</si>
  <si>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</si>
  <si>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</si>
  <si>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</si>
  <si>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</si>
  <si>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</si>
  <si>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</si>
  <si>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</si>
  <si>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</si>
  <si>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</si>
  <si>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</si>
  <si>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</si>
  <si>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</si>
  <si>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</si>
  <si>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</si>
  <si>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</si>
  <si>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</si>
  <si>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</si>
  <si>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</si>
  <si>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</si>
  <si>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</si>
  <si>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</si>
  <si>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</si>
  <si>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</si>
  <si>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</si>
  <si>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</si>
  <si>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</si>
  <si>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</si>
  <si>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</si>
  <si>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</si>
  <si>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</si>
  <si>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</si>
  <si>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</si>
  <si>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</si>
  <si>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</si>
  <si>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</si>
  <si>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</si>
  <si>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</si>
  <si>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</si>
  <si>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</si>
  <si>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</si>
  <si>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</si>
  <si>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</si>
  <si>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</si>
  <si>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</si>
  <si>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</si>
  <si>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</si>
  <si>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</si>
  <si>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</si>
  <si>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</si>
  <si>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</si>
  <si>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</si>
  <si>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</si>
  <si>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</si>
  <si>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</si>
  <si>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</si>
  <si>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</si>
  <si>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</si>
  <si>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</si>
  <si>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</si>
  <si>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</si>
  <si>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</si>
  <si>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</si>
  <si>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</si>
  <si>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</si>
  <si>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</si>
  <si>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</si>
  <si>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</si>
  <si>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</si>
  <si>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</si>
  <si>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</si>
  <si>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</si>
  <si>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</si>
  <si>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</si>
  <si>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</si>
  <si>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</si>
  <si>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</si>
  <si>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</si>
  <si>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</si>
  <si>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</si>
  <si>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</si>
  <si>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</si>
  <si>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</si>
  <si>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</si>
  <si>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</si>
  <si>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</si>
  <si>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</si>
  <si>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</si>
  <si>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</si>
  <si>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</si>
  <si>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</si>
  <si>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</si>
  <si>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</si>
  <si>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</si>
  <si>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</si>
  <si>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</si>
  <si>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</si>
  <si>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</si>
  <si>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</si>
  <si>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</si>
  <si>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</si>
  <si>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</si>
  <si>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</si>
  <si>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</si>
  <si>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</si>
  <si>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</si>
  <si>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</si>
  <si>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</si>
  <si>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</si>
  <si>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</si>
  <si>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</si>
  <si>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</si>
  <si>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</si>
  <si>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</si>
  <si>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</si>
  <si>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</si>
  <si>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</si>
  <si>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</si>
  <si>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</si>
  <si>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</si>
  <si>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</si>
  <si>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</si>
  <si>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</si>
  <si>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</si>
  <si>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</si>
  <si>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</si>
  <si>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</si>
  <si>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</si>
  <si>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</si>
  <si>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Row Labels</t>
  </si>
  <si>
    <t>Grand Total</t>
  </si>
  <si>
    <t>Total Quantity Sold</t>
  </si>
  <si>
    <t>Total Sales</t>
  </si>
  <si>
    <t>Sum of AOV</t>
  </si>
  <si>
    <t>Number of Transactions</t>
  </si>
  <si>
    <t>Column Labels</t>
  </si>
  <si>
    <t>Count of Customer ID</t>
  </si>
  <si>
    <t>&lt;1/1/2023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</si>
  <si>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</si>
  <si>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</si>
  <si>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</si>
  <si>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</si>
  <si>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</si>
  <si>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</si>
  <si>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</si>
  <si>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</si>
  <si>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</si>
  <si>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</si>
  <si>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</si>
  <si>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</si>
  <si>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AGE GROUP</t>
  </si>
  <si>
    <t>18-25</t>
  </si>
  <si>
    <t>26-35</t>
  </si>
  <si>
    <t>36-45</t>
  </si>
  <si>
    <t>46-60</t>
  </si>
  <si>
    <t>60+</t>
  </si>
  <si>
    <t>Sum of Total Amount2</t>
  </si>
  <si>
    <t>AOV (CORRECTION)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</si>
</sst>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lgerian"/>
      <family val="5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0" borderId="0" xfId="0" applyFont="1" applyAlignment="1">
      <alignment horizontal="center"/>
    </xf>
    <xf numFmtId="0" fontId="16" fillId="0" borderId="0" xfId="0" applyFont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[WEEK 3_ASSIGNMENT.xlsx]Sheet6!PivotTable10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Arial Black" panose="020B0A04020102020204" pitchFamily="34" charset="0"/>
              </a:rPr>
              <a:t>MONTHLY SALES TREND</a:t>
            </a:r>
          </a:p>
        </c:rich>
      </c:tx>
      <c:layout>
        <c:manualLayout>
          <c:xMode val="edge"/>
          <c:yMode val="edge"/>
          <c:x val="0.30398719820618447"/>
          <c:y val="0.11771473771258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Sheet6!$M$4:$M$17</c:f>
              <c:strCache>
                <c:ptCount val="13"/>
                <c:pt idx="0">
                  <c:v>&lt;1/1/2023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Sheet6!$N$4:$N$17</c:f>
              <c:numCache>
                <c:formatCode>General</c:formatCode>
                <c:ptCount val="13"/>
                <c:pt idx="1">
                  <c:v>36980</c:v>
                </c:pt>
                <c:pt idx="2">
                  <c:v>44060</c:v>
                </c:pt>
                <c:pt idx="3">
                  <c:v>28990</c:v>
                </c:pt>
                <c:pt idx="4">
                  <c:v>33870</c:v>
                </c:pt>
                <c:pt idx="5">
                  <c:v>53150</c:v>
                </c:pt>
                <c:pt idx="6">
                  <c:v>36715</c:v>
                </c:pt>
                <c:pt idx="7">
                  <c:v>35465</c:v>
                </c:pt>
                <c:pt idx="8">
                  <c:v>36960</c:v>
                </c:pt>
                <c:pt idx="9">
                  <c:v>23620</c:v>
                </c:pt>
                <c:pt idx="10">
                  <c:v>46580</c:v>
                </c:pt>
                <c:pt idx="11">
                  <c:v>34920</c:v>
                </c:pt>
                <c:pt idx="12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D-4D4B-B10C-9AFEFA61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441300912"/>
        <c:axId val="441332112"/>
      </c:lineChart>
      <c:catAx>
        <c:axId val="4413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32112"/>
        <c:crosses val="autoZero"/>
        <c:auto val="1"/>
        <c:lblAlgn val="ctr"/>
        <c:lblOffset val="100"/>
        <c:noMultiLvlLbl val="0"/>
      </c:catAx>
      <c:valAx>
        <c:axId val="4413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3_ASSIGNMENT.xlsx]Sheet6!PivotTable8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Arial Black" panose="020B0A04020102020204" pitchFamily="34" charset="0"/>
              </a:rPr>
              <a:t>TOP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Sheet6!$J$17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Sheet6!$I$18:$I$21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Sheet6!$J$18:$J$21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4F51-B13A-1B565EDADF6A}"/>
            </c:ext>
          </c:extLst>
        </c:ser>
        <c:ser>
          <c:idx val="1"/>
          <c:order val="1"/>
          <c:tx>
            <c:strRef>
              <c:f>Sheet6!$K$17</c:f>
              <c:strCache>
                <c:ptCount val="1"/>
                <c:pt idx="0">
                  <c:v>Sum of Total Amount2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Sheet6!$I$18:$I$21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Sheet6!$K$18:$K$21</c:f>
              <c:numCache>
                <c:formatCode>0.00%</c:formatCode>
                <c:ptCount val="3"/>
                <c:pt idx="0">
                  <c:v>0.34408991228070174</c:v>
                </c:pt>
                <c:pt idx="1">
                  <c:v>0.34118421052631581</c:v>
                </c:pt>
                <c:pt idx="2">
                  <c:v>0.31472587719298245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3C-4F51-B13A-1B565EDADF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441350832"/>
        <c:axId val="441328752"/>
        <c:axId val="0"/>
      </c:bar3DChart>
      <c:catAx>
        <c:axId val="4413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28752"/>
        <c:crosses val="autoZero"/>
        <c:auto val="1"/>
        <c:lblAlgn val="ctr"/>
        <c:lblOffset val="100"/>
        <c:noMultiLvlLbl val="0"/>
      </c:catAx>
      <c:valAx>
        <c:axId val="4413287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4135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3_ASSIGNMENT.xlsx]Sheet6!PivotTable11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 Black" panose="020B0A04020102020204" pitchFamily="34" charset="0"/>
              </a:rPr>
              <a:t>CUSTOMER DEMOGRAPHIC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Sheet6!$G$3:$G$4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Sheet6!$F$5:$F$10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Sheet6!$G$5:$G$10</c:f>
              <c:numCache>
                <c:formatCode>0.00%</c:formatCode>
                <c:ptCount val="5"/>
                <c:pt idx="0">
                  <c:v>8.1000000000000003E-2</c:v>
                </c:pt>
                <c:pt idx="1">
                  <c:v>0.107</c:v>
                </c:pt>
                <c:pt idx="2">
                  <c:v>0.107</c:v>
                </c:pt>
                <c:pt idx="3">
                  <c:v>0.17299999999999999</c:v>
                </c:pt>
                <c:pt idx="4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C-4892-AF40-6D5F19E49BF1}"/>
            </c:ext>
          </c:extLst>
        </c:ser>
        <c:ser>
          <c:idx val="1"/>
          <c:order val="1"/>
          <c:tx>
            <c:strRef>
              <c:f>Sheet6!$H$3:$H$4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Sheet6!$F$5:$F$10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Sheet6!$H$5:$H$10</c:f>
              <c:numCache>
                <c:formatCode>0.00%</c:formatCode>
                <c:ptCount val="5"/>
                <c:pt idx="0">
                  <c:v>8.7999999999999995E-2</c:v>
                </c:pt>
                <c:pt idx="1">
                  <c:v>9.8000000000000004E-2</c:v>
                </c:pt>
                <c:pt idx="2">
                  <c:v>9.5000000000000001E-2</c:v>
                </c:pt>
                <c:pt idx="3">
                  <c:v>0.158</c:v>
                </c:pt>
                <c:pt idx="4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C-4892-AF40-6D5F19E49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55405040"/>
        <c:axId val="1155417520"/>
        <c:axId val="0"/>
      </c:bar3DChart>
      <c:catAx>
        <c:axId val="11554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17520"/>
        <c:crosses val="autoZero"/>
        <c:auto val="1"/>
        <c:lblAlgn val="ctr"/>
        <c:lblOffset val="100"/>
        <c:noMultiLvlLbl val="0"/>
      </c:catAx>
      <c:valAx>
        <c:axId val="11554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0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3_ASSIGNMENT.xlsx]Sheet6!PivotTable8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rial Black" panose="020B0A04020102020204" pitchFamily="34" charset="0"/>
              </a:rPr>
              <a:t>TOP</a:t>
            </a:r>
            <a:r>
              <a:rPr lang="en-US" sz="1400" baseline="0">
                <a:latin typeface="Arial Black" panose="020B0A04020102020204" pitchFamily="34" charset="0"/>
              </a:rPr>
              <a:t> PRODUCT CATEGORY</a:t>
            </a:r>
            <a:endParaRPr lang="en-US" sz="14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9003090865862018"/>
          <c:y val="0.135250139187147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Sheet6!$J$17</c:f>
              <c:strCache>
                <c:ptCount val="1"/>
                <c:pt idx="0">
                  <c:v>Sum of Total Amount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55B-43DD-B140-0F801D122E9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55B-43DD-B140-0F801D122E9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55B-43DD-B140-0F801D122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Sheet6!$I$18:$I$21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Sheet6!$J$18:$J$21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5B-43DD-B140-0F801D122E91}"/>
            </c:ext>
          </c:extLst>
        </c:ser>
        <c:ser>
          <c:idx val="1"/>
          <c:order val="1"/>
          <c:tx>
            <c:strRef>
              <c:f>Sheet6!$K$17</c:f>
              <c:strCache>
                <c:ptCount val="1"/>
                <c:pt idx="0">
                  <c:v>Sum of Total Amount2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455B-43DD-B140-0F801D122E9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A-455B-43DD-B140-0F801D122E9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C-455B-43DD-B140-0F801D122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Sheet6!$I$18:$I$21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Sheet6!$K$18:$K$21</c:f>
              <c:numCache>
                <c:formatCode>0.00%</c:formatCode>
                <c:ptCount val="3"/>
                <c:pt idx="0">
                  <c:v>0.34408991228070174</c:v>
                </c:pt>
                <c:pt idx="1">
                  <c:v>0.34118421052631581</c:v>
                </c:pt>
                <c:pt idx="2">
                  <c:v>0.31472587719298245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55B-43DD-B140-0F801D122E9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</xdr:row>
      <xdr:rowOff>53340</xdr:rowOff>
    </xdr:from>
    <xdr:to>
      <xdr:col>10</xdr:col>
      <xdr:colOff>38100</xdr:colOff>
      <xdr:row>4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C23EF9-D5A4-27BB-93F3-67CBD5D4F6CB}"/>
            </a:ext>
          </a:extLst>
        </xdr:cNvPr>
        <xdr:cNvSpPr/>
      </xdr:nvSpPr>
      <xdr:spPr>
        <a:xfrm>
          <a:off x="3307080" y="236220"/>
          <a:ext cx="3307080" cy="586740"/>
        </a:xfrm>
        <a:prstGeom prst="roundRect">
          <a:avLst>
            <a:gd name="adj" fmla="val 5000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latin typeface="Algerian" panose="04020705040A02060702" pitchFamily="82" charset="0"/>
            </a:rPr>
            <a:t>TOTAL</a:t>
          </a:r>
          <a:r>
            <a:rPr lang="en-US" sz="2000" b="1" baseline="0">
              <a:latin typeface="Algerian" panose="04020705040A02060702" pitchFamily="82" charset="0"/>
            </a:rPr>
            <a:t> SALES </a:t>
          </a:r>
          <a:endParaRPr lang="en-US" sz="2000" b="1">
            <a:latin typeface="Algerian" panose="04020705040A02060702" pitchFamily="82" charset="0"/>
          </a:endParaRPr>
        </a:p>
      </xdr:txBody>
    </xdr:sp>
    <xdr:clientData/>
  </xdr:twoCellAnchor>
  <xdr:twoCellAnchor>
    <xdr:from>
      <xdr:col>18</xdr:col>
      <xdr:colOff>350520</xdr:colOff>
      <xdr:row>9</xdr:row>
      <xdr:rowOff>45720</xdr:rowOff>
    </xdr:from>
    <xdr:to>
      <xdr:col>25</xdr:col>
      <xdr:colOff>541020</xdr:colOff>
      <xdr:row>25</xdr:row>
      <xdr:rowOff>53340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2B29EBF-D163-8736-8BCE-70748B922D58}"/>
            </a:ext>
          </a:extLst>
        </xdr:cNvPr>
        <xdr:cNvSpPr/>
      </xdr:nvSpPr>
      <xdr:spPr>
        <a:xfrm>
          <a:off x="11643360" y="1760220"/>
          <a:ext cx="4457700" cy="293370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411480</xdr:colOff>
      <xdr:row>8</xdr:row>
      <xdr:rowOff>53340</xdr:rowOff>
    </xdr:from>
    <xdr:to>
      <xdr:col>23</xdr:col>
      <xdr:colOff>419100</xdr:colOff>
      <xdr:row>24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1C253B-0425-4E88-994D-F1E17CC80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8</xdr:row>
      <xdr:rowOff>152400</xdr:rowOff>
    </xdr:from>
    <xdr:to>
      <xdr:col>8</xdr:col>
      <xdr:colOff>114300</xdr:colOff>
      <xdr:row>26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C87007A-9716-D95A-D23E-1A0096B45BA7}"/>
            </a:ext>
          </a:extLst>
        </xdr:cNvPr>
        <xdr:cNvSpPr/>
      </xdr:nvSpPr>
      <xdr:spPr>
        <a:xfrm>
          <a:off x="152400" y="1684020"/>
          <a:ext cx="4998720" cy="317754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8</xdr:row>
      <xdr:rowOff>99060</xdr:rowOff>
    </xdr:from>
    <xdr:to>
      <xdr:col>7</xdr:col>
      <xdr:colOff>68580</xdr:colOff>
      <xdr:row>24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693261-1F93-4704-860F-C55A6AED6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83820</xdr:colOff>
      <xdr:row>9</xdr:row>
      <xdr:rowOff>22860</xdr:rowOff>
    </xdr:from>
    <xdr:to>
      <xdr:col>17</xdr:col>
      <xdr:colOff>579120</xdr:colOff>
      <xdr:row>25</xdr:row>
      <xdr:rowOff>175260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1AE4671-87A0-AC6F-D542-9937A232C19A}"/>
            </a:ext>
          </a:extLst>
        </xdr:cNvPr>
        <xdr:cNvSpPr/>
      </xdr:nvSpPr>
      <xdr:spPr>
        <a:xfrm>
          <a:off x="5730240" y="1737360"/>
          <a:ext cx="5532120" cy="3078480"/>
        </a:xfrm>
        <a:prstGeom prst="roundRect">
          <a:avLst>
            <a:gd name="adj" fmla="val 25578"/>
          </a:avLst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259080</xdr:colOff>
      <xdr:row>8</xdr:row>
      <xdr:rowOff>53340</xdr:rowOff>
    </xdr:from>
    <xdr:to>
      <xdr:col>15</xdr:col>
      <xdr:colOff>251460</xdr:colOff>
      <xdr:row>24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2A70D3-9BA1-430C-A588-D6F88F236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335280</xdr:colOff>
      <xdr:row>29</xdr:row>
      <xdr:rowOff>76200</xdr:rowOff>
    </xdr:from>
    <xdr:to>
      <xdr:col>8</xdr:col>
      <xdr:colOff>190500</xdr:colOff>
      <xdr:row>44</xdr:row>
      <xdr:rowOff>152400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34ADC0E-FCA2-893A-0499-17F91D9BD6EF}"/>
            </a:ext>
          </a:extLst>
        </xdr:cNvPr>
        <xdr:cNvSpPr/>
      </xdr:nvSpPr>
      <xdr:spPr>
        <a:xfrm>
          <a:off x="335280" y="5448300"/>
          <a:ext cx="4892040" cy="2819400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91440</xdr:colOff>
      <xdr:row>27</xdr:row>
      <xdr:rowOff>0</xdr:rowOff>
    </xdr:from>
    <xdr:to>
      <xdr:col>7</xdr:col>
      <xdr:colOff>68580</xdr:colOff>
      <xdr:row>42</xdr:row>
      <xdr:rowOff>22860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7F7762-D443-4C4E-B588-F8148BE2E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312420</xdr:colOff>
      <xdr:row>1</xdr:row>
      <xdr:rowOff>60960</xdr:rowOff>
    </xdr:from>
    <xdr:to>
      <xdr:col>18</xdr:col>
      <xdr:colOff>289560</xdr:colOff>
      <xdr:row>4</xdr:row>
      <xdr:rowOff>60960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148ECBD-EB5C-30E0-F3A5-057B2E69A744}"/>
            </a:ext>
          </a:extLst>
        </xdr:cNvPr>
        <xdr:cNvSpPr/>
      </xdr:nvSpPr>
      <xdr:spPr>
        <a:xfrm>
          <a:off x="8877300" y="243840"/>
          <a:ext cx="3025140" cy="548640"/>
        </a:xfrm>
        <a:prstGeom prst="roundRect">
          <a:avLst>
            <a:gd name="adj" fmla="val 5000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>
              <a:latin typeface="Algerian" panose="04020705040A02060702" pitchFamily="82" charset="0"/>
            </a:rPr>
            <a:t>TOTAL CUSTOMERS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DYBON" refreshedDate="46106.64624884259" createdVersion="8" refreshedVersion="8" minRefreshableVersion="3" recordCount="1001" xr:uid="{07EE5C48-1081-4795-8BBA-50CA496D4861}">
  <cacheSource type="worksheet">
    <worksheetSource ref="A1:I1048576" sheet="retail_sales_dataset"/>
  </cacheSource>
  <cacheFields count="10">
    <cacheField name="Transaction ID" numFmtId="0">
      <sharedItems containsString="0" containsBlank="1" containsNumber="1" containsInteger="1" minValue="1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m/>
      </sharedItems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 count="1001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 count="48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  <m/>
      </sharedItems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 count="19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  <m/>
      </sharedItems>
    </cacheField>
    <cacheField name="AOV" numFmtId="0" formula="'Total Amount'/'Transaction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DYBON" refreshedDate="46106.656626620374" createdVersion="8" refreshedVersion="8" minRefreshableVersion="3" recordCount="1000" xr:uid="{F4AD5280-A0E7-465F-BA93-E38817836092}">
  <cacheSource type="worksheet">
    <worksheetSource ref="A1:I1001" sheet="retail_sales_dataset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DYBON" refreshedDate="46106.72700914352" createdVersion="8" refreshedVersion="8" minRefreshableVersion="3" recordCount="1001" xr:uid="{B0FD4D9A-F9A0-4A69-9BF3-11E18A56C9B3}">
  <cacheSource type="worksheet">
    <worksheetSource ref="A1:J1048576" sheet="retail_sales_dataset"/>
  </cacheSource>
  <cacheFields count="12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 count="346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  <m/>
      </sharedItems>
      <fieldGroup par="11"/>
    </cacheField>
    <cacheField name="Customer ID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  <cacheField name="DATE2" numFmtId="0">
      <sharedItems containsBlank="1" count="346">
        <s v="24/11/2023"/>
        <s v="27/02/2023"/>
        <s v="13/01/2023"/>
        <s v="21/05/2023"/>
        <s v="06/05/2023"/>
        <s v="25/04/2023"/>
        <s v="13/03/2023"/>
        <s v="22/02/2023"/>
        <s v="13/12/2023"/>
        <s v="07/10/2023"/>
        <s v="14/02/2023"/>
        <s v="30/10/2023"/>
        <s v="05/08/2023"/>
        <s v="17/01/2023"/>
        <s v="16/01/2023"/>
        <s v="17/02/2023"/>
        <s v="22/04/2023"/>
        <s v="30/04/2023"/>
        <s v="16/09/2023"/>
        <s v="05/11/2023"/>
        <s v="14/01/2023"/>
        <s v="15/10/2023"/>
        <s v="12/04/2023"/>
        <s v="29/11/2023"/>
        <s v="26/12/2023"/>
        <s v="03/08/2023"/>
        <s v="23/04/2023"/>
        <s v="18/08/2023"/>
        <s v="29/10/2023"/>
        <s v="23/05/2023"/>
        <s v="04/01/2023"/>
        <s v="23/03/2023"/>
        <s v="24/12/2023"/>
        <s v="24/06/2023"/>
        <s v="21/03/2023"/>
        <s v="21/04/2023"/>
        <s v="22/06/2023"/>
        <s v="14/07/2023"/>
        <s v="19/02/2023"/>
        <s v="03/07/2023"/>
        <s v="26/06/2023"/>
        <s v="06/11/2023"/>
        <s v="16/05/2023"/>
        <s v="23/01/2023"/>
        <s v="24/08/2023"/>
        <s v="02/10/2023"/>
        <s v="05/03/2023"/>
        <s v="13/07/2023"/>
        <s v="10/02/2023"/>
        <s v="10/10/2023"/>
        <s v="31/05/2023"/>
        <s v="18/11/2023"/>
        <s v="13/11/2023"/>
        <s v="05/07/2023"/>
        <s v="23/10/2023"/>
        <s v="09/04/2023"/>
        <s v="27/12/2023"/>
        <s v="05/02/2023"/>
        <s v="24/01/2023"/>
        <s v="05/12/2023"/>
        <s v="27/04/2023"/>
        <s v="29/05/2023"/>
        <s v="21/02/2023"/>
        <s v="21/08/2023"/>
        <s v="22/11/2023"/>
        <s v="06/07/2023"/>
        <s v="25/03/2023"/>
        <s v="09/07/2023"/>
        <s v="01/07/2023"/>
        <s v="18/04/2023"/>
        <s v="10/12/2023"/>
        <s v="17/05/2023"/>
        <s v="16/12/2023"/>
        <s v="28/11/2023"/>
        <s v="06/02/2023"/>
        <s v="08/11/2023"/>
        <s v="29/03/2023"/>
        <s v="01/10/2023"/>
        <s v="25/08/2023"/>
        <s v="19/05/2023"/>
        <s v="19/12/2023"/>
        <s v="13/10/2023"/>
        <s v="17/12/2023"/>
        <s v="16/06/2023"/>
        <s v="29/01/2023"/>
        <s v="28/04/2023"/>
        <s v="11/06/2023"/>
        <s v="25/07/2023"/>
        <s v="18/05/2023"/>
        <s v="03/02/2023"/>
        <s v="19/04/2023"/>
        <s v="18/10/2023"/>
        <s v="02/12/2023"/>
        <s v="13/09/2023"/>
        <s v="22/07/2023"/>
        <s v="26/11/2023"/>
        <s v="23/08/2023"/>
        <s v="15/03/2023"/>
        <s v="07/05/2023"/>
        <s v="03/10/2023"/>
        <s v="15/05/2023"/>
        <s v="27/10/2023"/>
        <s v="08/08/2023"/>
        <s v="26/10/2023"/>
        <s v="24/07/2023"/>
        <s v="12/03/2023"/>
        <s v="18/09/2023"/>
        <s v="10/09/2023"/>
        <s v="16/02/2023"/>
        <s v="25/01/2023"/>
        <s v="26/02/2023"/>
        <s v="20/03/2023"/>
        <s v="15/12/2023"/>
        <s v="02/11/2023"/>
        <s v="02/02/2023"/>
        <s v="17/07/2023"/>
        <s v="15/07/2023"/>
        <s v="28/08/2023"/>
        <s v="28/09/2023"/>
        <s v="09/05/2023"/>
        <s v="11/10/2023"/>
        <s v="06/01/2023"/>
        <s v="28/02/2023"/>
        <s v="25/11/2023"/>
        <s v="11/08/2023"/>
        <s v="22/03/2023"/>
        <s v="02/01/2023"/>
        <s v="14/09/2023"/>
        <s v="02/04/2023"/>
        <s v="17/09/2023"/>
        <s v="24/02/2023"/>
        <s v="17/11/2023"/>
        <s v="02/06/2023"/>
        <s v="11/07/2023"/>
        <s v="24/03/2023"/>
        <s v="04/10/2023"/>
        <s v="29/09/2023"/>
        <s v="01/01/2023"/>
        <s v="03/11/2023"/>
        <s v="15/06/2023"/>
        <s v="08/09/2023"/>
        <s v="10/01/2023"/>
        <s v="07/06/2023"/>
        <s v="03/05/2023"/>
        <s v="30/01/2023"/>
        <s v="04/05/2023"/>
        <s v="13/02/2023"/>
        <s v="06/09/2023"/>
        <s v="30/09/2023"/>
        <s v="06/03/2023"/>
        <s v="07/03/2023"/>
        <s v="04/12/2023"/>
        <s v="01/09/2023"/>
        <s v="09/10/2023"/>
        <s v="26/03/2023"/>
        <s v="07/11/2023"/>
        <s v="20/12/2023"/>
        <s v="13/04/2023"/>
        <s v="01/01/2024"/>
        <s v="09/06/2023"/>
        <s v="13/08/2023"/>
        <s v="22/09/2023"/>
        <s v="20/08/2023"/>
        <s v="03/03/2023"/>
        <s v="26/04/2023"/>
        <s v="23/06/2023"/>
        <s v="11/01/2023"/>
        <s v="29/12/2023"/>
        <s v="20/11/2023"/>
        <s v="31/01/2023"/>
        <s v="04/02/2023"/>
        <s v="19/06/2023"/>
        <s v="21/09/2023"/>
        <s v="02/05/2023"/>
        <s v="09/12/2023"/>
        <s v="20/04/2023"/>
        <s v="09/03/2023"/>
        <s v="20/10/2023"/>
        <s v="31/08/2023"/>
        <s v="05/05/2023"/>
        <s v="28/07/2023"/>
        <s v="08/04/2023"/>
        <s v="18/02/2023"/>
        <s v="09/08/2023"/>
        <s v="30/07/2023"/>
        <s v="28/01/2023"/>
        <s v="11/12/2023"/>
        <s v="01/12/2023"/>
        <s v="27/11/2023"/>
        <s v="20/02/2023"/>
        <s v="01/02/2023"/>
        <s v="26/07/2023"/>
        <s v="25/02/2023"/>
        <s v="08/05/2023"/>
        <s v="04/04/2023"/>
        <s v="08/02/2023"/>
        <s v="15/08/2023"/>
        <s v="26/01/2023"/>
        <s v="30/11/2023"/>
        <s v="08/01/2023"/>
        <s v="27/03/2023"/>
        <s v="04/09/2023"/>
        <s v="19/07/2023"/>
        <s v="27/05/2023"/>
        <s v="23/12/2023"/>
        <s v="12/10/2023"/>
        <s v="07/09/2023"/>
        <s v="01/06/2023"/>
        <s v="24/10/2023"/>
        <s v="05/10/2023"/>
        <s v="10/06/2023"/>
        <s v="02/09/2023"/>
        <s v="15/09/2023"/>
        <s v="11/02/2023"/>
        <s v="06/04/2023"/>
        <s v="01/11/2023"/>
        <s v="12/12/2023"/>
        <s v="01/05/2023"/>
        <s v="19/10/2023"/>
        <s v="21/01/2023"/>
        <s v="14/11/2023"/>
        <s v="03/12/2023"/>
        <s v="17/10/2023"/>
        <s v="25/09/2023"/>
        <s v="14/05/2023"/>
        <s v="15/04/2023"/>
        <s v="03/06/2023"/>
        <s v="07/02/2023"/>
        <s v="05/01/2023"/>
        <s v="15/11/2023"/>
        <s v="16/10/2023"/>
        <s v="28/06/2023"/>
        <s v="26/05/2023"/>
        <s v="06/10/2023"/>
        <s v="04/06/2023"/>
        <s v="10/11/2023"/>
        <s v="08/12/2023"/>
        <s v="06/12/2023"/>
        <s v="23/02/2023"/>
        <s v="10/03/2023"/>
        <s v="01/03/2023"/>
        <s v="20/05/2023"/>
        <s v="25/05/2023"/>
        <s v="25/06/2023"/>
        <s v="18/12/2023"/>
        <s v="21/11/2023"/>
        <s v="27/01/2023"/>
        <s v="22/05/2023"/>
        <s v="20/06/2023"/>
        <s v="08/03/2023"/>
        <s v="23/11/2023"/>
        <s v="28/12/2023"/>
        <s v="07/08/2023"/>
        <s v="18/03/2023"/>
        <s v="19/01/2023"/>
        <s v="17/03/2023"/>
        <s v="22/01/2023"/>
        <s v="14/10/2023"/>
        <s v="01/04/2023"/>
        <s v="31/07/2023"/>
        <s v="20/01/2023"/>
        <s v="29/08/2023"/>
        <s v="24/04/2023"/>
        <s v="29/06/2023"/>
        <s v="06/06/2023"/>
        <s v="18/06/2023"/>
        <s v="14/12/2023"/>
        <s v="15/01/2023"/>
        <s v="25/10/2023"/>
        <s v="12/08/2023"/>
        <s v="19/09/2023"/>
        <s v="11/05/2023"/>
        <s v="24/09/2023"/>
        <s v="11/04/2023"/>
        <s v="07/12/2023"/>
        <s v="16/11/2023"/>
        <s v="08/06/2023"/>
        <s v="29/07/2023"/>
        <s v="17/06/2023"/>
        <s v="04/08/2023"/>
        <s v="31/03/2023"/>
        <s v="12/11/2023"/>
        <s v="27/07/2023"/>
        <s v="08/10/2023"/>
        <s v="05/06/2023"/>
        <s v="14/06/2023"/>
        <s v="27/08/2023"/>
        <s v="28/03/2023"/>
        <s v="21/06/2023"/>
        <s v="09/11/2023"/>
        <s v="22/08/2023"/>
        <s v="01/08/2023"/>
        <s v="19/11/2023"/>
        <s v="22/10/2023"/>
        <s v="10/04/2023"/>
        <s v="16/07/2023"/>
        <s v="11/09/2023"/>
        <s v="03/01/2023"/>
        <s v="06/08/2023"/>
        <s v="23/09/2023"/>
        <s v="26/08/2023"/>
        <s v="04/03/2023"/>
        <s v="12/06/2023"/>
        <s v="17/08/2023"/>
        <s v="19/08/2023"/>
        <s v="13/05/2023"/>
        <s v="14/08/2023"/>
        <s v="09/02/2023"/>
        <s v="13/06/2023"/>
        <s v="19/03/2023"/>
        <s v="29/04/2023"/>
        <s v="22/12/2023"/>
        <s v="16/04/2023"/>
        <s v="30/06/2023"/>
        <s v="21/07/2023"/>
        <s v="31/10/2023"/>
        <s v="12/02/2023"/>
        <s v="11/03/2023"/>
        <s v="10/05/2023"/>
        <s v="25/12/2023"/>
        <s v="12/05/2023"/>
        <s v="08/07/2023"/>
        <s v="12/07/2023"/>
        <s v="23/07/2023"/>
        <s v="04/11/2023"/>
        <s v="27/06/2023"/>
        <s v="07/01/2023"/>
        <s v="10/08/2023"/>
        <s v="05/09/2023"/>
        <s v="24/05/2023"/>
        <s v="31/12/2023"/>
        <s v="09/09/2023"/>
        <s v="09/01/2023"/>
        <s v="21/12/2023"/>
        <s v="05/04/2023"/>
        <s v="26/09/2023"/>
        <s v="04/07/2023"/>
        <s v="30/05/2023"/>
        <s v="21/10/2023"/>
        <s v="03/09/2023"/>
        <s v="02/03/2023"/>
        <s v="02/08/2023"/>
        <s v="17/04/2023"/>
        <s v="30/03/2023"/>
        <s v="28/05/2023"/>
        <m/>
      </sharedItems>
      <fieldGroup par="10"/>
    </cacheField>
    <cacheField name="DATE2_2" numFmtId="0" databaseField="0">
      <fieldGroup base="9">
        <discretePr count="346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DYBON" refreshedDate="46106.875597222221" createdVersion="8" refreshedVersion="8" minRefreshableVersion="3" recordCount="1001" xr:uid="{D48F6B53-AD62-49C9-8AB3-576D6D5CE72F}">
  <cacheSource type="worksheet">
    <worksheetSource ref="A1:K1048576" sheet="retail_sales_dataset"/>
  </cacheSource>
  <cacheFields count="11">
    <cacheField name="Transaction ID" numFmtId="0">
      <sharedItems containsString="0" containsBlank="1" containsNumber="1" containsInteger="1" minValue="1" maxValue="1000"/>
    </cacheField>
    <cacheField name="Date" numFmtId="0">
      <sharedItems containsNonDate="0" containsDate="1" containsString="0" containsBlank="1" minDate="2023-01-01T00:00:00" maxDate="2024-01-02T00:00:00"/>
    </cacheField>
    <cacheField name="Customer ID" numFmtId="0">
      <sharedItems containsBlank="1" count="1001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  <m/>
      </sharedItems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  <cacheField name="DATE2" numFmtId="0">
      <sharedItems containsBlank="1"/>
    </cacheField>
    <cacheField name="AGE GROUP" numFmtId="0">
      <sharedItems containsBlank="1" count="6">
        <s v="26-35"/>
        <s v="46-60"/>
        <s v="36-45"/>
        <s v="60+"/>
        <s v="18-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d v="2023-11-24T00:00:00"/>
    <x v="0"/>
    <x v="0"/>
    <x v="0"/>
    <x v="0"/>
    <n v="3"/>
    <n v="50"/>
    <x v="0"/>
  </r>
  <r>
    <x v="1"/>
    <d v="2023-02-27T00:00:00"/>
    <x v="1"/>
    <x v="1"/>
    <x v="1"/>
    <x v="1"/>
    <n v="2"/>
    <n v="500"/>
    <x v="1"/>
  </r>
  <r>
    <x v="2"/>
    <d v="2023-01-13T00:00:00"/>
    <x v="2"/>
    <x v="0"/>
    <x v="2"/>
    <x v="2"/>
    <n v="1"/>
    <n v="30"/>
    <x v="2"/>
  </r>
  <r>
    <x v="3"/>
    <d v="2023-05-21T00:00:00"/>
    <x v="3"/>
    <x v="0"/>
    <x v="3"/>
    <x v="1"/>
    <n v="1"/>
    <n v="500"/>
    <x v="3"/>
  </r>
  <r>
    <x v="4"/>
    <d v="2023-05-06T00:00:00"/>
    <x v="4"/>
    <x v="0"/>
    <x v="4"/>
    <x v="0"/>
    <n v="2"/>
    <n v="50"/>
    <x v="4"/>
  </r>
  <r>
    <x v="5"/>
    <d v="2023-04-25T00:00:00"/>
    <x v="5"/>
    <x v="1"/>
    <x v="5"/>
    <x v="0"/>
    <n v="1"/>
    <n v="30"/>
    <x v="2"/>
  </r>
  <r>
    <x v="6"/>
    <d v="2023-03-13T00:00:00"/>
    <x v="6"/>
    <x v="0"/>
    <x v="6"/>
    <x v="1"/>
    <n v="2"/>
    <n v="25"/>
    <x v="5"/>
  </r>
  <r>
    <x v="7"/>
    <d v="2023-02-22T00:00:00"/>
    <x v="7"/>
    <x v="0"/>
    <x v="4"/>
    <x v="2"/>
    <n v="4"/>
    <n v="25"/>
    <x v="4"/>
  </r>
  <r>
    <x v="8"/>
    <d v="2023-12-13T00:00:00"/>
    <x v="8"/>
    <x v="0"/>
    <x v="7"/>
    <x v="2"/>
    <n v="2"/>
    <n v="300"/>
    <x v="6"/>
  </r>
  <r>
    <x v="9"/>
    <d v="2023-10-07T00:00:00"/>
    <x v="9"/>
    <x v="1"/>
    <x v="8"/>
    <x v="1"/>
    <n v="4"/>
    <n v="50"/>
    <x v="7"/>
  </r>
  <r>
    <x v="10"/>
    <d v="2023-02-14T00:00:00"/>
    <x v="10"/>
    <x v="0"/>
    <x v="9"/>
    <x v="1"/>
    <n v="2"/>
    <n v="50"/>
    <x v="4"/>
  </r>
  <r>
    <x v="11"/>
    <d v="2023-10-30T00:00:00"/>
    <x v="11"/>
    <x v="0"/>
    <x v="10"/>
    <x v="0"/>
    <n v="3"/>
    <n v="25"/>
    <x v="8"/>
  </r>
  <r>
    <x v="12"/>
    <d v="2023-08-05T00:00:00"/>
    <x v="12"/>
    <x v="0"/>
    <x v="11"/>
    <x v="2"/>
    <n v="3"/>
    <n v="500"/>
    <x v="9"/>
  </r>
  <r>
    <x v="13"/>
    <d v="2023-01-17T00:00:00"/>
    <x v="13"/>
    <x v="0"/>
    <x v="12"/>
    <x v="1"/>
    <n v="4"/>
    <n v="30"/>
    <x v="10"/>
  </r>
  <r>
    <x v="14"/>
    <d v="2023-01-16T00:00:00"/>
    <x v="14"/>
    <x v="1"/>
    <x v="13"/>
    <x v="2"/>
    <n v="4"/>
    <n v="500"/>
    <x v="11"/>
  </r>
  <r>
    <x v="15"/>
    <d v="2023-02-17T00:00:00"/>
    <x v="15"/>
    <x v="0"/>
    <x v="14"/>
    <x v="1"/>
    <n v="3"/>
    <n v="500"/>
    <x v="9"/>
  </r>
  <r>
    <x v="16"/>
    <d v="2023-04-22T00:00:00"/>
    <x v="16"/>
    <x v="1"/>
    <x v="15"/>
    <x v="1"/>
    <n v="4"/>
    <n v="25"/>
    <x v="4"/>
  </r>
  <r>
    <x v="17"/>
    <d v="2023-04-30T00:00:00"/>
    <x v="17"/>
    <x v="1"/>
    <x v="16"/>
    <x v="2"/>
    <n v="2"/>
    <n v="25"/>
    <x v="5"/>
  </r>
  <r>
    <x v="18"/>
    <d v="2023-09-16T00:00:00"/>
    <x v="18"/>
    <x v="1"/>
    <x v="17"/>
    <x v="1"/>
    <n v="2"/>
    <n v="25"/>
    <x v="5"/>
  </r>
  <r>
    <x v="19"/>
    <d v="2023-11-05T00:00:00"/>
    <x v="19"/>
    <x v="0"/>
    <x v="11"/>
    <x v="1"/>
    <n v="3"/>
    <n v="300"/>
    <x v="12"/>
  </r>
  <r>
    <x v="20"/>
    <d v="2023-01-14T00:00:00"/>
    <x v="20"/>
    <x v="1"/>
    <x v="2"/>
    <x v="0"/>
    <n v="1"/>
    <n v="500"/>
    <x v="3"/>
  </r>
  <r>
    <x v="21"/>
    <d v="2023-10-15T00:00:00"/>
    <x v="21"/>
    <x v="0"/>
    <x v="18"/>
    <x v="1"/>
    <n v="2"/>
    <n v="50"/>
    <x v="4"/>
  </r>
  <r>
    <x v="22"/>
    <d v="2023-04-12T00:00:00"/>
    <x v="22"/>
    <x v="1"/>
    <x v="10"/>
    <x v="1"/>
    <n v="4"/>
    <n v="30"/>
    <x v="10"/>
  </r>
  <r>
    <x v="23"/>
    <d v="2023-11-29T00:00:00"/>
    <x v="23"/>
    <x v="1"/>
    <x v="19"/>
    <x v="1"/>
    <n v="1"/>
    <n v="300"/>
    <x v="13"/>
  </r>
  <r>
    <x v="24"/>
    <d v="2023-12-26T00:00:00"/>
    <x v="24"/>
    <x v="1"/>
    <x v="12"/>
    <x v="0"/>
    <n v="1"/>
    <n v="50"/>
    <x v="5"/>
  </r>
  <r>
    <x v="25"/>
    <d v="2023-10-07T00:00:00"/>
    <x v="25"/>
    <x v="1"/>
    <x v="20"/>
    <x v="2"/>
    <n v="2"/>
    <n v="500"/>
    <x v="1"/>
  </r>
  <r>
    <x v="26"/>
    <d v="2023-08-03T00:00:00"/>
    <x v="26"/>
    <x v="1"/>
    <x v="21"/>
    <x v="0"/>
    <n v="2"/>
    <n v="25"/>
    <x v="5"/>
  </r>
  <r>
    <x v="27"/>
    <d v="2023-04-23T00:00:00"/>
    <x v="27"/>
    <x v="1"/>
    <x v="22"/>
    <x v="0"/>
    <n v="1"/>
    <n v="500"/>
    <x v="3"/>
  </r>
  <r>
    <x v="28"/>
    <d v="2023-08-18T00:00:00"/>
    <x v="28"/>
    <x v="1"/>
    <x v="13"/>
    <x v="2"/>
    <n v="1"/>
    <n v="30"/>
    <x v="2"/>
  </r>
  <r>
    <x v="29"/>
    <d v="2023-10-29T00:00:00"/>
    <x v="29"/>
    <x v="1"/>
    <x v="23"/>
    <x v="0"/>
    <n v="3"/>
    <n v="300"/>
    <x v="12"/>
  </r>
  <r>
    <x v="30"/>
    <d v="2023-05-23T00:00:00"/>
    <x v="30"/>
    <x v="0"/>
    <x v="24"/>
    <x v="2"/>
    <n v="4"/>
    <n v="300"/>
    <x v="14"/>
  </r>
  <r>
    <x v="31"/>
    <d v="2023-01-04T00:00:00"/>
    <x v="31"/>
    <x v="0"/>
    <x v="4"/>
    <x v="0"/>
    <n v="3"/>
    <n v="30"/>
    <x v="15"/>
  </r>
  <r>
    <x v="32"/>
    <d v="2023-03-23T00:00:00"/>
    <x v="32"/>
    <x v="1"/>
    <x v="2"/>
    <x v="2"/>
    <n v="2"/>
    <n v="50"/>
    <x v="4"/>
  </r>
  <r>
    <x v="33"/>
    <d v="2023-12-24T00:00:00"/>
    <x v="33"/>
    <x v="1"/>
    <x v="25"/>
    <x v="1"/>
    <n v="3"/>
    <n v="50"/>
    <x v="0"/>
  </r>
  <r>
    <x v="34"/>
    <d v="2023-08-05T00:00:00"/>
    <x v="34"/>
    <x v="1"/>
    <x v="26"/>
    <x v="0"/>
    <n v="3"/>
    <n v="300"/>
    <x v="12"/>
  </r>
  <r>
    <x v="35"/>
    <d v="2023-06-24T00:00:00"/>
    <x v="35"/>
    <x v="0"/>
    <x v="8"/>
    <x v="0"/>
    <n v="3"/>
    <n v="300"/>
    <x v="12"/>
  </r>
  <r>
    <x v="36"/>
    <d v="2023-05-23T00:00:00"/>
    <x v="36"/>
    <x v="1"/>
    <x v="18"/>
    <x v="0"/>
    <n v="3"/>
    <n v="25"/>
    <x v="8"/>
  </r>
  <r>
    <x v="37"/>
    <d v="2023-03-21T00:00:00"/>
    <x v="37"/>
    <x v="0"/>
    <x v="21"/>
    <x v="0"/>
    <n v="4"/>
    <n v="50"/>
    <x v="7"/>
  </r>
  <r>
    <x v="38"/>
    <d v="2023-04-21T00:00:00"/>
    <x v="38"/>
    <x v="0"/>
    <x v="9"/>
    <x v="1"/>
    <n v="4"/>
    <n v="30"/>
    <x v="10"/>
  </r>
  <r>
    <x v="39"/>
    <d v="2023-06-22T00:00:00"/>
    <x v="39"/>
    <x v="0"/>
    <x v="5"/>
    <x v="0"/>
    <n v="1"/>
    <n v="50"/>
    <x v="5"/>
  </r>
  <r>
    <x v="40"/>
    <d v="2023-02-22T00:00:00"/>
    <x v="40"/>
    <x v="0"/>
    <x v="0"/>
    <x v="1"/>
    <n v="2"/>
    <n v="25"/>
    <x v="5"/>
  </r>
  <r>
    <x v="41"/>
    <d v="2023-02-17T00:00:00"/>
    <x v="41"/>
    <x v="0"/>
    <x v="11"/>
    <x v="1"/>
    <n v="3"/>
    <n v="300"/>
    <x v="12"/>
  </r>
  <r>
    <x v="42"/>
    <d v="2023-07-14T00:00:00"/>
    <x v="42"/>
    <x v="1"/>
    <x v="27"/>
    <x v="1"/>
    <n v="1"/>
    <n v="300"/>
    <x v="13"/>
  </r>
  <r>
    <x v="43"/>
    <d v="2023-02-19T00:00:00"/>
    <x v="43"/>
    <x v="1"/>
    <x v="11"/>
    <x v="1"/>
    <n v="1"/>
    <n v="25"/>
    <x v="16"/>
  </r>
  <r>
    <x v="44"/>
    <d v="2023-07-03T00:00:00"/>
    <x v="44"/>
    <x v="1"/>
    <x v="28"/>
    <x v="2"/>
    <n v="1"/>
    <n v="30"/>
    <x v="2"/>
  </r>
  <r>
    <x v="45"/>
    <d v="2023-06-26T00:00:00"/>
    <x v="45"/>
    <x v="1"/>
    <x v="29"/>
    <x v="2"/>
    <n v="4"/>
    <n v="300"/>
    <x v="14"/>
  </r>
  <r>
    <x v="46"/>
    <d v="2023-11-06T00:00:00"/>
    <x v="46"/>
    <x v="1"/>
    <x v="30"/>
    <x v="0"/>
    <n v="3"/>
    <n v="500"/>
    <x v="9"/>
  </r>
  <r>
    <x v="47"/>
    <d v="2023-05-16T00:00:00"/>
    <x v="47"/>
    <x v="0"/>
    <x v="31"/>
    <x v="2"/>
    <n v="3"/>
    <n v="300"/>
    <x v="12"/>
  </r>
  <r>
    <x v="48"/>
    <d v="2023-01-23T00:00:00"/>
    <x v="48"/>
    <x v="1"/>
    <x v="31"/>
    <x v="2"/>
    <n v="2"/>
    <n v="500"/>
    <x v="1"/>
  </r>
  <r>
    <x v="49"/>
    <d v="2023-08-24T00:00:00"/>
    <x v="49"/>
    <x v="1"/>
    <x v="15"/>
    <x v="0"/>
    <n v="3"/>
    <n v="25"/>
    <x v="8"/>
  </r>
  <r>
    <x v="50"/>
    <d v="2023-10-02T00:00:00"/>
    <x v="50"/>
    <x v="0"/>
    <x v="15"/>
    <x v="0"/>
    <n v="3"/>
    <n v="25"/>
    <x v="8"/>
  </r>
  <r>
    <x v="51"/>
    <d v="2023-03-05T00:00:00"/>
    <x v="51"/>
    <x v="1"/>
    <x v="32"/>
    <x v="0"/>
    <n v="1"/>
    <n v="300"/>
    <x v="13"/>
  </r>
  <r>
    <x v="52"/>
    <d v="2023-07-13T00:00:00"/>
    <x v="52"/>
    <x v="0"/>
    <x v="0"/>
    <x v="2"/>
    <n v="2"/>
    <n v="50"/>
    <x v="4"/>
  </r>
  <r>
    <x v="53"/>
    <d v="2023-02-10T00:00:00"/>
    <x v="53"/>
    <x v="1"/>
    <x v="21"/>
    <x v="2"/>
    <n v="3"/>
    <n v="500"/>
    <x v="9"/>
  </r>
  <r>
    <x v="54"/>
    <d v="2023-10-10T00:00:00"/>
    <x v="54"/>
    <x v="0"/>
    <x v="33"/>
    <x v="0"/>
    <n v="4"/>
    <n v="30"/>
    <x v="10"/>
  </r>
  <r>
    <x v="55"/>
    <d v="2023-05-31T00:00:00"/>
    <x v="55"/>
    <x v="1"/>
    <x v="1"/>
    <x v="1"/>
    <n v="3"/>
    <n v="300"/>
    <x v="12"/>
  </r>
  <r>
    <x v="56"/>
    <d v="2023-11-18T00:00:00"/>
    <x v="56"/>
    <x v="1"/>
    <x v="7"/>
    <x v="0"/>
    <n v="1"/>
    <n v="30"/>
    <x v="2"/>
  </r>
  <r>
    <x v="57"/>
    <d v="2023-11-13T00:00:00"/>
    <x v="57"/>
    <x v="0"/>
    <x v="18"/>
    <x v="1"/>
    <n v="4"/>
    <n v="300"/>
    <x v="14"/>
  </r>
  <r>
    <x v="58"/>
    <d v="2023-07-05T00:00:00"/>
    <x v="58"/>
    <x v="0"/>
    <x v="17"/>
    <x v="1"/>
    <n v="1"/>
    <n v="50"/>
    <x v="5"/>
  </r>
  <r>
    <x v="59"/>
    <d v="2023-10-23T00:00:00"/>
    <x v="59"/>
    <x v="0"/>
    <x v="4"/>
    <x v="0"/>
    <n v="3"/>
    <n v="50"/>
    <x v="0"/>
  </r>
  <r>
    <x v="60"/>
    <d v="2023-04-09T00:00:00"/>
    <x v="60"/>
    <x v="0"/>
    <x v="34"/>
    <x v="0"/>
    <n v="4"/>
    <n v="50"/>
    <x v="7"/>
  </r>
  <r>
    <x v="61"/>
    <d v="2023-12-27T00:00:00"/>
    <x v="61"/>
    <x v="0"/>
    <x v="18"/>
    <x v="0"/>
    <n v="2"/>
    <n v="50"/>
    <x v="4"/>
  </r>
  <r>
    <x v="62"/>
    <d v="2023-02-05T00:00:00"/>
    <x v="62"/>
    <x v="0"/>
    <x v="35"/>
    <x v="2"/>
    <n v="2"/>
    <n v="25"/>
    <x v="5"/>
  </r>
  <r>
    <x v="63"/>
    <d v="2023-01-24T00:00:00"/>
    <x v="63"/>
    <x v="0"/>
    <x v="19"/>
    <x v="1"/>
    <n v="4"/>
    <n v="25"/>
    <x v="4"/>
  </r>
  <r>
    <x v="64"/>
    <d v="2023-12-05T00:00:00"/>
    <x v="64"/>
    <x v="0"/>
    <x v="25"/>
    <x v="2"/>
    <n v="4"/>
    <n v="500"/>
    <x v="11"/>
  </r>
  <r>
    <x v="65"/>
    <d v="2023-04-27T00:00:00"/>
    <x v="65"/>
    <x v="1"/>
    <x v="5"/>
    <x v="2"/>
    <n v="1"/>
    <n v="30"/>
    <x v="2"/>
  </r>
  <r>
    <x v="66"/>
    <d v="2023-05-29T00:00:00"/>
    <x v="66"/>
    <x v="1"/>
    <x v="27"/>
    <x v="0"/>
    <n v="4"/>
    <n v="300"/>
    <x v="14"/>
  </r>
  <r>
    <x v="67"/>
    <d v="2023-02-10T00:00:00"/>
    <x v="67"/>
    <x v="0"/>
    <x v="36"/>
    <x v="2"/>
    <n v="1"/>
    <n v="300"/>
    <x v="13"/>
  </r>
  <r>
    <x v="68"/>
    <d v="2023-04-30T00:00:00"/>
    <x v="68"/>
    <x v="1"/>
    <x v="37"/>
    <x v="0"/>
    <n v="3"/>
    <n v="25"/>
    <x v="8"/>
  </r>
  <r>
    <x v="69"/>
    <d v="2023-02-21T00:00:00"/>
    <x v="69"/>
    <x v="1"/>
    <x v="22"/>
    <x v="1"/>
    <n v="1"/>
    <n v="300"/>
    <x v="13"/>
  </r>
  <r>
    <x v="70"/>
    <d v="2023-07-14T00:00:00"/>
    <x v="70"/>
    <x v="1"/>
    <x v="25"/>
    <x v="0"/>
    <n v="4"/>
    <n v="25"/>
    <x v="4"/>
  </r>
  <r>
    <x v="71"/>
    <d v="2023-05-23T00:00:00"/>
    <x v="71"/>
    <x v="1"/>
    <x v="29"/>
    <x v="2"/>
    <n v="4"/>
    <n v="500"/>
    <x v="11"/>
  </r>
  <r>
    <x v="72"/>
    <d v="2023-08-21T00:00:00"/>
    <x v="72"/>
    <x v="0"/>
    <x v="38"/>
    <x v="2"/>
    <n v="3"/>
    <n v="30"/>
    <x v="15"/>
  </r>
  <r>
    <x v="73"/>
    <d v="2023-11-22T00:00:00"/>
    <x v="73"/>
    <x v="1"/>
    <x v="18"/>
    <x v="0"/>
    <n v="4"/>
    <n v="500"/>
    <x v="11"/>
  </r>
  <r>
    <x v="74"/>
    <d v="2023-07-06T00:00:00"/>
    <x v="74"/>
    <x v="0"/>
    <x v="39"/>
    <x v="0"/>
    <n v="4"/>
    <n v="50"/>
    <x v="7"/>
  </r>
  <r>
    <x v="75"/>
    <d v="2023-03-25T00:00:00"/>
    <x v="75"/>
    <x v="1"/>
    <x v="11"/>
    <x v="2"/>
    <n v="2"/>
    <n v="50"/>
    <x v="4"/>
  </r>
  <r>
    <x v="76"/>
    <d v="2023-07-09T00:00:00"/>
    <x v="76"/>
    <x v="1"/>
    <x v="16"/>
    <x v="1"/>
    <n v="2"/>
    <n v="50"/>
    <x v="4"/>
  </r>
  <r>
    <x v="77"/>
    <d v="2023-07-01T00:00:00"/>
    <x v="77"/>
    <x v="1"/>
    <x v="16"/>
    <x v="1"/>
    <n v="3"/>
    <n v="500"/>
    <x v="9"/>
  </r>
  <r>
    <x v="78"/>
    <d v="2023-04-18T00:00:00"/>
    <x v="78"/>
    <x v="0"/>
    <x v="0"/>
    <x v="0"/>
    <n v="1"/>
    <n v="300"/>
    <x v="13"/>
  </r>
  <r>
    <x v="79"/>
    <d v="2023-12-10T00:00:00"/>
    <x v="79"/>
    <x v="1"/>
    <x v="12"/>
    <x v="1"/>
    <n v="2"/>
    <n v="30"/>
    <x v="17"/>
  </r>
  <r>
    <x v="80"/>
    <d v="2023-05-17T00:00:00"/>
    <x v="80"/>
    <x v="0"/>
    <x v="30"/>
    <x v="2"/>
    <n v="1"/>
    <n v="50"/>
    <x v="5"/>
  </r>
  <r>
    <x v="81"/>
    <d v="2023-12-26T00:00:00"/>
    <x v="81"/>
    <x v="1"/>
    <x v="40"/>
    <x v="0"/>
    <n v="4"/>
    <n v="50"/>
    <x v="7"/>
  </r>
  <r>
    <x v="82"/>
    <d v="2023-12-16T00:00:00"/>
    <x v="82"/>
    <x v="0"/>
    <x v="31"/>
    <x v="2"/>
    <n v="2"/>
    <n v="50"/>
    <x v="4"/>
  </r>
  <r>
    <x v="83"/>
    <d v="2023-11-28T00:00:00"/>
    <x v="83"/>
    <x v="1"/>
    <x v="21"/>
    <x v="2"/>
    <n v="3"/>
    <n v="30"/>
    <x v="15"/>
  </r>
  <r>
    <x v="84"/>
    <d v="2023-02-06T00:00:00"/>
    <x v="84"/>
    <x v="0"/>
    <x v="33"/>
    <x v="1"/>
    <n v="3"/>
    <n v="50"/>
    <x v="0"/>
  </r>
  <r>
    <x v="85"/>
    <d v="2023-11-08T00:00:00"/>
    <x v="85"/>
    <x v="0"/>
    <x v="14"/>
    <x v="0"/>
    <n v="3"/>
    <n v="30"/>
    <x v="15"/>
  </r>
  <r>
    <x v="86"/>
    <d v="2023-11-22T00:00:00"/>
    <x v="86"/>
    <x v="1"/>
    <x v="20"/>
    <x v="0"/>
    <n v="2"/>
    <n v="50"/>
    <x v="4"/>
  </r>
  <r>
    <x v="87"/>
    <d v="2023-03-29T00:00:00"/>
    <x v="87"/>
    <x v="0"/>
    <x v="37"/>
    <x v="1"/>
    <n v="1"/>
    <n v="500"/>
    <x v="3"/>
  </r>
  <r>
    <x v="88"/>
    <d v="2023-10-01T00:00:00"/>
    <x v="88"/>
    <x v="1"/>
    <x v="28"/>
    <x v="2"/>
    <n v="4"/>
    <n v="500"/>
    <x v="11"/>
  </r>
  <r>
    <x v="89"/>
    <d v="2023-05-06T00:00:00"/>
    <x v="89"/>
    <x v="1"/>
    <x v="25"/>
    <x v="2"/>
    <n v="1"/>
    <n v="30"/>
    <x v="2"/>
  </r>
  <r>
    <x v="90"/>
    <d v="2023-03-25T00:00:00"/>
    <x v="90"/>
    <x v="1"/>
    <x v="28"/>
    <x v="2"/>
    <n v="1"/>
    <n v="500"/>
    <x v="3"/>
  </r>
  <r>
    <x v="91"/>
    <d v="2023-08-25T00:00:00"/>
    <x v="91"/>
    <x v="1"/>
    <x v="25"/>
    <x v="2"/>
    <n v="4"/>
    <n v="30"/>
    <x v="10"/>
  </r>
  <r>
    <x v="92"/>
    <d v="2023-07-14T00:00:00"/>
    <x v="92"/>
    <x v="1"/>
    <x v="10"/>
    <x v="0"/>
    <n v="4"/>
    <n v="500"/>
    <x v="11"/>
  </r>
  <r>
    <x v="93"/>
    <d v="2023-05-19T00:00:00"/>
    <x v="93"/>
    <x v="1"/>
    <x v="16"/>
    <x v="0"/>
    <n v="2"/>
    <n v="500"/>
    <x v="1"/>
  </r>
  <r>
    <x v="94"/>
    <d v="2023-11-24T00:00:00"/>
    <x v="94"/>
    <x v="1"/>
    <x v="40"/>
    <x v="1"/>
    <n v="2"/>
    <n v="30"/>
    <x v="17"/>
  </r>
  <r>
    <x v="95"/>
    <d v="2023-12-19T00:00:00"/>
    <x v="95"/>
    <x v="1"/>
    <x v="24"/>
    <x v="1"/>
    <n v="2"/>
    <n v="300"/>
    <x v="6"/>
  </r>
  <r>
    <x v="96"/>
    <d v="2023-10-13T00:00:00"/>
    <x v="96"/>
    <x v="1"/>
    <x v="25"/>
    <x v="0"/>
    <n v="2"/>
    <n v="500"/>
    <x v="1"/>
  </r>
  <r>
    <x v="97"/>
    <d v="2023-04-23T00:00:00"/>
    <x v="97"/>
    <x v="1"/>
    <x v="28"/>
    <x v="0"/>
    <n v="2"/>
    <n v="50"/>
    <x v="4"/>
  </r>
  <r>
    <x v="98"/>
    <d v="2023-12-17T00:00:00"/>
    <x v="98"/>
    <x v="1"/>
    <x v="2"/>
    <x v="2"/>
    <n v="4"/>
    <n v="300"/>
    <x v="14"/>
  </r>
  <r>
    <x v="99"/>
    <d v="2023-06-16T00:00:00"/>
    <x v="99"/>
    <x v="0"/>
    <x v="41"/>
    <x v="2"/>
    <n v="1"/>
    <n v="30"/>
    <x v="2"/>
  </r>
  <r>
    <x v="100"/>
    <d v="2023-01-29T00:00:00"/>
    <x v="100"/>
    <x v="0"/>
    <x v="40"/>
    <x v="1"/>
    <n v="2"/>
    <n v="300"/>
    <x v="6"/>
  </r>
  <r>
    <x v="101"/>
    <d v="2023-04-28T00:00:00"/>
    <x v="101"/>
    <x v="1"/>
    <x v="16"/>
    <x v="0"/>
    <n v="2"/>
    <n v="25"/>
    <x v="5"/>
  </r>
  <r>
    <x v="102"/>
    <d v="2023-01-17T00:00:00"/>
    <x v="102"/>
    <x v="1"/>
    <x v="42"/>
    <x v="1"/>
    <n v="1"/>
    <n v="25"/>
    <x v="16"/>
  </r>
  <r>
    <x v="103"/>
    <d v="2023-06-11T00:00:00"/>
    <x v="103"/>
    <x v="1"/>
    <x v="0"/>
    <x v="0"/>
    <n v="2"/>
    <n v="500"/>
    <x v="1"/>
  </r>
  <r>
    <x v="104"/>
    <d v="2023-07-25T00:00:00"/>
    <x v="104"/>
    <x v="1"/>
    <x v="11"/>
    <x v="2"/>
    <n v="1"/>
    <n v="500"/>
    <x v="3"/>
  </r>
  <r>
    <x v="105"/>
    <d v="2023-05-18T00:00:00"/>
    <x v="105"/>
    <x v="1"/>
    <x v="6"/>
    <x v="1"/>
    <n v="1"/>
    <n v="50"/>
    <x v="5"/>
  </r>
  <r>
    <x v="106"/>
    <d v="2023-02-03T00:00:00"/>
    <x v="106"/>
    <x v="1"/>
    <x v="34"/>
    <x v="1"/>
    <n v="4"/>
    <n v="300"/>
    <x v="14"/>
  </r>
  <r>
    <x v="107"/>
    <d v="2023-04-19T00:00:00"/>
    <x v="107"/>
    <x v="1"/>
    <x v="15"/>
    <x v="0"/>
    <n v="3"/>
    <n v="25"/>
    <x v="8"/>
  </r>
  <r>
    <x v="108"/>
    <d v="2023-10-18T00:00:00"/>
    <x v="108"/>
    <x v="1"/>
    <x v="0"/>
    <x v="2"/>
    <n v="4"/>
    <n v="500"/>
    <x v="11"/>
  </r>
  <r>
    <x v="109"/>
    <d v="2023-06-11T00:00:00"/>
    <x v="109"/>
    <x v="0"/>
    <x v="15"/>
    <x v="1"/>
    <n v="3"/>
    <n v="300"/>
    <x v="12"/>
  </r>
  <r>
    <x v="110"/>
    <d v="2023-04-19T00:00:00"/>
    <x v="110"/>
    <x v="1"/>
    <x v="0"/>
    <x v="2"/>
    <n v="3"/>
    <n v="500"/>
    <x v="9"/>
  </r>
  <r>
    <x v="111"/>
    <d v="2023-12-02T00:00:00"/>
    <x v="111"/>
    <x v="0"/>
    <x v="3"/>
    <x v="1"/>
    <n v="3"/>
    <n v="500"/>
    <x v="9"/>
  </r>
  <r>
    <x v="112"/>
    <d v="2023-09-13T00:00:00"/>
    <x v="112"/>
    <x v="1"/>
    <x v="41"/>
    <x v="2"/>
    <n v="2"/>
    <n v="25"/>
    <x v="5"/>
  </r>
  <r>
    <x v="113"/>
    <d v="2023-07-22T00:00:00"/>
    <x v="113"/>
    <x v="1"/>
    <x v="11"/>
    <x v="0"/>
    <n v="4"/>
    <n v="25"/>
    <x v="4"/>
  </r>
  <r>
    <x v="114"/>
    <d v="2023-11-26T00:00:00"/>
    <x v="114"/>
    <x v="0"/>
    <x v="25"/>
    <x v="1"/>
    <n v="3"/>
    <n v="500"/>
    <x v="9"/>
  </r>
  <r>
    <x v="115"/>
    <d v="2023-08-23T00:00:00"/>
    <x v="115"/>
    <x v="1"/>
    <x v="9"/>
    <x v="1"/>
    <n v="1"/>
    <n v="30"/>
    <x v="2"/>
  </r>
  <r>
    <x v="116"/>
    <d v="2023-03-15T00:00:00"/>
    <x v="116"/>
    <x v="0"/>
    <x v="14"/>
    <x v="2"/>
    <n v="2"/>
    <n v="500"/>
    <x v="1"/>
  </r>
  <r>
    <x v="117"/>
    <d v="2023-05-16T00:00:00"/>
    <x v="117"/>
    <x v="1"/>
    <x v="4"/>
    <x v="2"/>
    <n v="4"/>
    <n v="500"/>
    <x v="11"/>
  </r>
  <r>
    <x v="118"/>
    <d v="2023-03-13T00:00:00"/>
    <x v="118"/>
    <x v="1"/>
    <x v="43"/>
    <x v="1"/>
    <n v="3"/>
    <n v="50"/>
    <x v="0"/>
  </r>
  <r>
    <x v="119"/>
    <d v="2023-05-07T00:00:00"/>
    <x v="119"/>
    <x v="0"/>
    <x v="43"/>
    <x v="0"/>
    <n v="1"/>
    <n v="50"/>
    <x v="5"/>
  </r>
  <r>
    <x v="120"/>
    <d v="2023-10-15T00:00:00"/>
    <x v="120"/>
    <x v="1"/>
    <x v="20"/>
    <x v="2"/>
    <n v="4"/>
    <n v="50"/>
    <x v="7"/>
  </r>
  <r>
    <x v="121"/>
    <d v="2023-10-03T00:00:00"/>
    <x v="121"/>
    <x v="0"/>
    <x v="12"/>
    <x v="2"/>
    <n v="4"/>
    <n v="30"/>
    <x v="10"/>
  </r>
  <r>
    <x v="122"/>
    <d v="2023-05-15T00:00:00"/>
    <x v="122"/>
    <x v="1"/>
    <x v="30"/>
    <x v="2"/>
    <n v="2"/>
    <n v="30"/>
    <x v="17"/>
  </r>
  <r>
    <x v="123"/>
    <d v="2023-10-27T00:00:00"/>
    <x v="123"/>
    <x v="0"/>
    <x v="44"/>
    <x v="1"/>
    <n v="4"/>
    <n v="500"/>
    <x v="11"/>
  </r>
  <r>
    <x v="124"/>
    <d v="2023-08-08T00:00:00"/>
    <x v="124"/>
    <x v="0"/>
    <x v="27"/>
    <x v="1"/>
    <n v="2"/>
    <n v="50"/>
    <x v="4"/>
  </r>
  <r>
    <x v="125"/>
    <d v="2023-10-26T00:00:00"/>
    <x v="125"/>
    <x v="1"/>
    <x v="20"/>
    <x v="1"/>
    <n v="3"/>
    <n v="30"/>
    <x v="15"/>
  </r>
  <r>
    <x v="126"/>
    <d v="2023-07-24T00:00:00"/>
    <x v="126"/>
    <x v="1"/>
    <x v="44"/>
    <x v="1"/>
    <n v="2"/>
    <n v="25"/>
    <x v="5"/>
  </r>
  <r>
    <x v="127"/>
    <d v="2023-07-05T00:00:00"/>
    <x v="127"/>
    <x v="0"/>
    <x v="36"/>
    <x v="0"/>
    <n v="1"/>
    <n v="500"/>
    <x v="3"/>
  </r>
  <r>
    <x v="128"/>
    <d v="2023-04-23T00:00:00"/>
    <x v="128"/>
    <x v="1"/>
    <x v="34"/>
    <x v="0"/>
    <n v="2"/>
    <n v="300"/>
    <x v="6"/>
  </r>
  <r>
    <x v="129"/>
    <d v="2023-03-12T00:00:00"/>
    <x v="129"/>
    <x v="1"/>
    <x v="35"/>
    <x v="1"/>
    <n v="1"/>
    <n v="500"/>
    <x v="3"/>
  </r>
  <r>
    <x v="130"/>
    <d v="2023-09-18T00:00:00"/>
    <x v="130"/>
    <x v="1"/>
    <x v="34"/>
    <x v="0"/>
    <n v="2"/>
    <n v="300"/>
    <x v="6"/>
  </r>
  <r>
    <x v="131"/>
    <d v="2023-09-10T00:00:00"/>
    <x v="131"/>
    <x v="0"/>
    <x v="13"/>
    <x v="2"/>
    <n v="4"/>
    <n v="50"/>
    <x v="7"/>
  </r>
  <r>
    <x v="132"/>
    <d v="2023-02-16T00:00:00"/>
    <x v="132"/>
    <x v="0"/>
    <x v="29"/>
    <x v="2"/>
    <n v="3"/>
    <n v="300"/>
    <x v="12"/>
  </r>
  <r>
    <x v="133"/>
    <d v="2023-01-25T00:00:00"/>
    <x v="133"/>
    <x v="0"/>
    <x v="19"/>
    <x v="2"/>
    <n v="1"/>
    <n v="50"/>
    <x v="5"/>
  </r>
  <r>
    <x v="134"/>
    <d v="2023-02-26T00:00:00"/>
    <x v="134"/>
    <x v="0"/>
    <x v="29"/>
    <x v="1"/>
    <n v="2"/>
    <n v="25"/>
    <x v="5"/>
  </r>
  <r>
    <x v="135"/>
    <d v="2023-03-20T00:00:00"/>
    <x v="135"/>
    <x v="0"/>
    <x v="24"/>
    <x v="2"/>
    <n v="2"/>
    <n v="300"/>
    <x v="6"/>
  </r>
  <r>
    <x v="136"/>
    <d v="2023-11-18T00:00:00"/>
    <x v="136"/>
    <x v="0"/>
    <x v="6"/>
    <x v="0"/>
    <n v="2"/>
    <n v="500"/>
    <x v="1"/>
  </r>
  <r>
    <x v="137"/>
    <d v="2023-03-23T00:00:00"/>
    <x v="137"/>
    <x v="0"/>
    <x v="19"/>
    <x v="1"/>
    <n v="4"/>
    <n v="50"/>
    <x v="7"/>
  </r>
  <r>
    <x v="138"/>
    <d v="2023-12-15T00:00:00"/>
    <x v="138"/>
    <x v="0"/>
    <x v="32"/>
    <x v="0"/>
    <n v="4"/>
    <n v="500"/>
    <x v="11"/>
  </r>
  <r>
    <x v="139"/>
    <d v="2023-08-05T00:00:00"/>
    <x v="139"/>
    <x v="0"/>
    <x v="21"/>
    <x v="2"/>
    <n v="1"/>
    <n v="30"/>
    <x v="2"/>
  </r>
  <r>
    <x v="140"/>
    <d v="2023-11-02T00:00:00"/>
    <x v="140"/>
    <x v="1"/>
    <x v="11"/>
    <x v="2"/>
    <n v="1"/>
    <n v="50"/>
    <x v="5"/>
  </r>
  <r>
    <x v="141"/>
    <d v="2023-02-02T00:00:00"/>
    <x v="141"/>
    <x v="0"/>
    <x v="10"/>
    <x v="2"/>
    <n v="4"/>
    <n v="300"/>
    <x v="14"/>
  </r>
  <r>
    <x v="142"/>
    <d v="2023-07-17T00:00:00"/>
    <x v="142"/>
    <x v="1"/>
    <x v="5"/>
    <x v="1"/>
    <n v="1"/>
    <n v="50"/>
    <x v="5"/>
  </r>
  <r>
    <x v="143"/>
    <d v="2023-07-15T00:00:00"/>
    <x v="143"/>
    <x v="1"/>
    <x v="42"/>
    <x v="0"/>
    <n v="3"/>
    <n v="500"/>
    <x v="9"/>
  </r>
  <r>
    <x v="144"/>
    <d v="2023-11-02T00:00:00"/>
    <x v="144"/>
    <x v="1"/>
    <x v="23"/>
    <x v="1"/>
    <n v="3"/>
    <n v="25"/>
    <x v="8"/>
  </r>
  <r>
    <x v="145"/>
    <d v="2023-08-28T00:00:00"/>
    <x v="145"/>
    <x v="0"/>
    <x v="21"/>
    <x v="1"/>
    <n v="4"/>
    <n v="50"/>
    <x v="7"/>
  </r>
  <r>
    <x v="146"/>
    <d v="2023-09-28T00:00:00"/>
    <x v="146"/>
    <x v="0"/>
    <x v="9"/>
    <x v="2"/>
    <n v="1"/>
    <n v="300"/>
    <x v="13"/>
  </r>
  <r>
    <x v="147"/>
    <d v="2023-05-09T00:00:00"/>
    <x v="147"/>
    <x v="0"/>
    <x v="18"/>
    <x v="1"/>
    <n v="2"/>
    <n v="30"/>
    <x v="17"/>
  </r>
  <r>
    <x v="148"/>
    <d v="2023-10-11T00:00:00"/>
    <x v="148"/>
    <x v="0"/>
    <x v="11"/>
    <x v="1"/>
    <n v="3"/>
    <n v="25"/>
    <x v="8"/>
  </r>
  <r>
    <x v="149"/>
    <d v="2023-01-06T00:00:00"/>
    <x v="149"/>
    <x v="1"/>
    <x v="26"/>
    <x v="2"/>
    <n v="4"/>
    <n v="30"/>
    <x v="10"/>
  </r>
  <r>
    <x v="150"/>
    <d v="2023-12-15T00:00:00"/>
    <x v="150"/>
    <x v="0"/>
    <x v="38"/>
    <x v="1"/>
    <n v="1"/>
    <n v="50"/>
    <x v="5"/>
  </r>
  <r>
    <x v="151"/>
    <d v="2023-02-28T00:00:00"/>
    <x v="151"/>
    <x v="0"/>
    <x v="22"/>
    <x v="2"/>
    <n v="4"/>
    <n v="500"/>
    <x v="11"/>
  </r>
  <r>
    <x v="152"/>
    <d v="2023-12-16T00:00:00"/>
    <x v="152"/>
    <x v="0"/>
    <x v="7"/>
    <x v="2"/>
    <n v="2"/>
    <n v="500"/>
    <x v="1"/>
  </r>
  <r>
    <x v="153"/>
    <d v="2023-10-02T00:00:00"/>
    <x v="153"/>
    <x v="0"/>
    <x v="25"/>
    <x v="2"/>
    <n v="3"/>
    <n v="300"/>
    <x v="12"/>
  </r>
  <r>
    <x v="154"/>
    <d v="2023-05-17T00:00:00"/>
    <x v="154"/>
    <x v="0"/>
    <x v="33"/>
    <x v="2"/>
    <n v="4"/>
    <n v="500"/>
    <x v="11"/>
  </r>
  <r>
    <x v="155"/>
    <d v="2023-11-25T00:00:00"/>
    <x v="155"/>
    <x v="1"/>
    <x v="22"/>
    <x v="1"/>
    <n v="4"/>
    <n v="25"/>
    <x v="4"/>
  </r>
  <r>
    <x v="156"/>
    <d v="2023-06-24T00:00:00"/>
    <x v="156"/>
    <x v="0"/>
    <x v="17"/>
    <x v="2"/>
    <n v="4"/>
    <n v="500"/>
    <x v="11"/>
  </r>
  <r>
    <x v="157"/>
    <d v="2023-02-27T00:00:00"/>
    <x v="157"/>
    <x v="1"/>
    <x v="24"/>
    <x v="2"/>
    <n v="2"/>
    <n v="300"/>
    <x v="6"/>
  </r>
  <r>
    <x v="158"/>
    <d v="2023-05-31T00:00:00"/>
    <x v="158"/>
    <x v="0"/>
    <x v="1"/>
    <x v="1"/>
    <n v="4"/>
    <n v="50"/>
    <x v="7"/>
  </r>
  <r>
    <x v="159"/>
    <d v="2023-08-11T00:00:00"/>
    <x v="159"/>
    <x v="1"/>
    <x v="22"/>
    <x v="1"/>
    <n v="2"/>
    <n v="50"/>
    <x v="4"/>
  </r>
  <r>
    <x v="160"/>
    <d v="2023-03-22T00:00:00"/>
    <x v="160"/>
    <x v="0"/>
    <x v="12"/>
    <x v="0"/>
    <n v="2"/>
    <n v="500"/>
    <x v="1"/>
  </r>
  <r>
    <x v="161"/>
    <d v="2023-08-21T00:00:00"/>
    <x v="161"/>
    <x v="0"/>
    <x v="23"/>
    <x v="1"/>
    <n v="2"/>
    <n v="30"/>
    <x v="17"/>
  </r>
  <r>
    <x v="162"/>
    <d v="2023-01-02T00:00:00"/>
    <x v="162"/>
    <x v="1"/>
    <x v="12"/>
    <x v="1"/>
    <n v="3"/>
    <n v="50"/>
    <x v="0"/>
  </r>
  <r>
    <x v="163"/>
    <d v="2023-05-15T00:00:00"/>
    <x v="163"/>
    <x v="1"/>
    <x v="16"/>
    <x v="0"/>
    <n v="3"/>
    <n v="500"/>
    <x v="9"/>
  </r>
  <r>
    <x v="164"/>
    <d v="2023-09-14T00:00:00"/>
    <x v="164"/>
    <x v="1"/>
    <x v="43"/>
    <x v="1"/>
    <n v="4"/>
    <n v="300"/>
    <x v="14"/>
  </r>
  <r>
    <x v="165"/>
    <d v="2023-04-02T00:00:00"/>
    <x v="165"/>
    <x v="0"/>
    <x v="0"/>
    <x v="1"/>
    <n v="4"/>
    <n v="500"/>
    <x v="11"/>
  </r>
  <r>
    <x v="166"/>
    <d v="2023-09-17T00:00:00"/>
    <x v="166"/>
    <x v="1"/>
    <x v="22"/>
    <x v="1"/>
    <n v="3"/>
    <n v="50"/>
    <x v="0"/>
  </r>
  <r>
    <x v="167"/>
    <d v="2023-02-24T00:00:00"/>
    <x v="167"/>
    <x v="0"/>
    <x v="45"/>
    <x v="1"/>
    <n v="1"/>
    <n v="300"/>
    <x v="13"/>
  </r>
  <r>
    <x v="168"/>
    <d v="2023-11-17T00:00:00"/>
    <x v="168"/>
    <x v="0"/>
    <x v="18"/>
    <x v="0"/>
    <n v="3"/>
    <n v="500"/>
    <x v="9"/>
  </r>
  <r>
    <x v="169"/>
    <d v="2023-06-02T00:00:00"/>
    <x v="169"/>
    <x v="1"/>
    <x v="36"/>
    <x v="1"/>
    <n v="2"/>
    <n v="25"/>
    <x v="5"/>
  </r>
  <r>
    <x v="170"/>
    <d v="2023-11-24T00:00:00"/>
    <x v="170"/>
    <x v="1"/>
    <x v="8"/>
    <x v="1"/>
    <n v="3"/>
    <n v="300"/>
    <x v="12"/>
  </r>
  <r>
    <x v="171"/>
    <d v="2023-09-17T00:00:00"/>
    <x v="171"/>
    <x v="0"/>
    <x v="40"/>
    <x v="0"/>
    <n v="2"/>
    <n v="25"/>
    <x v="5"/>
  </r>
  <r>
    <x v="172"/>
    <d v="2023-11-08T00:00:00"/>
    <x v="172"/>
    <x v="0"/>
    <x v="12"/>
    <x v="2"/>
    <n v="4"/>
    <n v="30"/>
    <x v="10"/>
  </r>
  <r>
    <x v="173"/>
    <d v="2023-04-12T00:00:00"/>
    <x v="173"/>
    <x v="1"/>
    <x v="23"/>
    <x v="0"/>
    <n v="1"/>
    <n v="300"/>
    <x v="13"/>
  </r>
  <r>
    <x v="174"/>
    <d v="2023-03-20T00:00:00"/>
    <x v="174"/>
    <x v="1"/>
    <x v="33"/>
    <x v="2"/>
    <n v="4"/>
    <n v="25"/>
    <x v="4"/>
  </r>
  <r>
    <x v="175"/>
    <d v="2023-07-11T00:00:00"/>
    <x v="175"/>
    <x v="1"/>
    <x v="22"/>
    <x v="0"/>
    <n v="2"/>
    <n v="50"/>
    <x v="4"/>
  </r>
  <r>
    <x v="176"/>
    <d v="2023-03-24T00:00:00"/>
    <x v="176"/>
    <x v="0"/>
    <x v="5"/>
    <x v="0"/>
    <n v="2"/>
    <n v="50"/>
    <x v="4"/>
  </r>
  <r>
    <x v="177"/>
    <d v="2023-10-04T00:00:00"/>
    <x v="177"/>
    <x v="0"/>
    <x v="30"/>
    <x v="1"/>
    <n v="2"/>
    <n v="30"/>
    <x v="17"/>
  </r>
  <r>
    <x v="178"/>
    <d v="2023-09-29T00:00:00"/>
    <x v="178"/>
    <x v="0"/>
    <x v="33"/>
    <x v="2"/>
    <n v="1"/>
    <n v="300"/>
    <x v="13"/>
  </r>
  <r>
    <x v="179"/>
    <d v="2023-01-01T00:00:00"/>
    <x v="179"/>
    <x v="0"/>
    <x v="41"/>
    <x v="1"/>
    <n v="3"/>
    <n v="300"/>
    <x v="12"/>
  </r>
  <r>
    <x v="180"/>
    <d v="2023-11-03T00:00:00"/>
    <x v="180"/>
    <x v="0"/>
    <x v="14"/>
    <x v="2"/>
    <n v="4"/>
    <n v="300"/>
    <x v="14"/>
  </r>
  <r>
    <x v="181"/>
    <d v="2023-06-15T00:00:00"/>
    <x v="181"/>
    <x v="0"/>
    <x v="17"/>
    <x v="0"/>
    <n v="4"/>
    <n v="30"/>
    <x v="10"/>
  </r>
  <r>
    <x v="182"/>
    <d v="2023-09-08T00:00:00"/>
    <x v="182"/>
    <x v="1"/>
    <x v="22"/>
    <x v="0"/>
    <n v="3"/>
    <n v="300"/>
    <x v="12"/>
  </r>
  <r>
    <x v="183"/>
    <d v="2023-01-10T00:00:00"/>
    <x v="183"/>
    <x v="0"/>
    <x v="33"/>
    <x v="2"/>
    <n v="4"/>
    <n v="50"/>
    <x v="7"/>
  </r>
  <r>
    <x v="184"/>
    <d v="2023-02-27T00:00:00"/>
    <x v="184"/>
    <x v="0"/>
    <x v="46"/>
    <x v="1"/>
    <n v="1"/>
    <n v="25"/>
    <x v="16"/>
  </r>
  <r>
    <x v="185"/>
    <d v="2023-07-05T00:00:00"/>
    <x v="185"/>
    <x v="0"/>
    <x v="29"/>
    <x v="1"/>
    <n v="4"/>
    <n v="50"/>
    <x v="7"/>
  </r>
  <r>
    <x v="186"/>
    <d v="2023-06-07T00:00:00"/>
    <x v="186"/>
    <x v="1"/>
    <x v="12"/>
    <x v="1"/>
    <n v="2"/>
    <n v="50"/>
    <x v="4"/>
  </r>
  <r>
    <x v="187"/>
    <d v="2023-05-03T00:00:00"/>
    <x v="187"/>
    <x v="0"/>
    <x v="30"/>
    <x v="1"/>
    <n v="3"/>
    <n v="25"/>
    <x v="8"/>
  </r>
  <r>
    <x v="188"/>
    <d v="2023-01-30T00:00:00"/>
    <x v="188"/>
    <x v="0"/>
    <x v="7"/>
    <x v="0"/>
    <n v="1"/>
    <n v="50"/>
    <x v="5"/>
  </r>
  <r>
    <x v="189"/>
    <d v="2023-05-04T00:00:00"/>
    <x v="189"/>
    <x v="1"/>
    <x v="43"/>
    <x v="0"/>
    <n v="3"/>
    <n v="30"/>
    <x v="15"/>
  </r>
  <r>
    <x v="190"/>
    <d v="2023-10-18T00:00:00"/>
    <x v="190"/>
    <x v="0"/>
    <x v="12"/>
    <x v="0"/>
    <n v="1"/>
    <n v="25"/>
    <x v="16"/>
  </r>
  <r>
    <x v="191"/>
    <d v="2023-02-10T00:00:00"/>
    <x v="191"/>
    <x v="0"/>
    <x v="17"/>
    <x v="0"/>
    <n v="2"/>
    <n v="50"/>
    <x v="4"/>
  </r>
  <r>
    <x v="192"/>
    <d v="2023-02-13T00:00:00"/>
    <x v="192"/>
    <x v="0"/>
    <x v="10"/>
    <x v="0"/>
    <n v="3"/>
    <n v="500"/>
    <x v="9"/>
  </r>
  <r>
    <x v="193"/>
    <d v="2023-09-06T00:00:00"/>
    <x v="193"/>
    <x v="0"/>
    <x v="28"/>
    <x v="1"/>
    <n v="4"/>
    <n v="50"/>
    <x v="7"/>
  </r>
  <r>
    <x v="194"/>
    <d v="2023-02-05T00:00:00"/>
    <x v="194"/>
    <x v="0"/>
    <x v="8"/>
    <x v="1"/>
    <n v="1"/>
    <n v="30"/>
    <x v="2"/>
  </r>
  <r>
    <x v="195"/>
    <d v="2023-09-30T00:00:00"/>
    <x v="195"/>
    <x v="1"/>
    <x v="40"/>
    <x v="1"/>
    <n v="3"/>
    <n v="300"/>
    <x v="12"/>
  </r>
  <r>
    <x v="196"/>
    <d v="2023-03-06T00:00:00"/>
    <x v="196"/>
    <x v="1"/>
    <x v="13"/>
    <x v="1"/>
    <n v="4"/>
    <n v="50"/>
    <x v="7"/>
  </r>
  <r>
    <x v="197"/>
    <d v="2023-03-07T00:00:00"/>
    <x v="197"/>
    <x v="1"/>
    <x v="31"/>
    <x v="0"/>
    <n v="3"/>
    <n v="300"/>
    <x v="12"/>
  </r>
  <r>
    <x v="198"/>
    <d v="2023-12-04T00:00:00"/>
    <x v="198"/>
    <x v="0"/>
    <x v="5"/>
    <x v="0"/>
    <n v="3"/>
    <n v="500"/>
    <x v="9"/>
  </r>
  <r>
    <x v="199"/>
    <d v="2023-09-01T00:00:00"/>
    <x v="199"/>
    <x v="0"/>
    <x v="15"/>
    <x v="0"/>
    <n v="3"/>
    <n v="50"/>
    <x v="0"/>
  </r>
  <r>
    <x v="200"/>
    <d v="2023-10-09T00:00:00"/>
    <x v="200"/>
    <x v="0"/>
    <x v="37"/>
    <x v="2"/>
    <n v="1"/>
    <n v="25"/>
    <x v="16"/>
  </r>
  <r>
    <x v="201"/>
    <d v="2023-03-26T00:00:00"/>
    <x v="201"/>
    <x v="1"/>
    <x v="0"/>
    <x v="1"/>
    <n v="4"/>
    <n v="300"/>
    <x v="14"/>
  </r>
  <r>
    <x v="202"/>
    <d v="2023-05-16T00:00:00"/>
    <x v="202"/>
    <x v="0"/>
    <x v="37"/>
    <x v="1"/>
    <n v="2"/>
    <n v="500"/>
    <x v="1"/>
  </r>
  <r>
    <x v="203"/>
    <d v="2023-09-28T00:00:00"/>
    <x v="203"/>
    <x v="0"/>
    <x v="23"/>
    <x v="0"/>
    <n v="1"/>
    <n v="25"/>
    <x v="16"/>
  </r>
  <r>
    <x v="204"/>
    <d v="2023-11-07T00:00:00"/>
    <x v="204"/>
    <x v="1"/>
    <x v="22"/>
    <x v="1"/>
    <n v="1"/>
    <n v="25"/>
    <x v="16"/>
  </r>
  <r>
    <x v="205"/>
    <d v="2023-08-05T00:00:00"/>
    <x v="205"/>
    <x v="0"/>
    <x v="39"/>
    <x v="1"/>
    <n v="1"/>
    <n v="25"/>
    <x v="16"/>
  </r>
  <r>
    <x v="206"/>
    <d v="2023-04-19T00:00:00"/>
    <x v="206"/>
    <x v="1"/>
    <x v="13"/>
    <x v="0"/>
    <n v="2"/>
    <n v="25"/>
    <x v="5"/>
  </r>
  <r>
    <x v="207"/>
    <d v="2023-10-04T00:00:00"/>
    <x v="207"/>
    <x v="1"/>
    <x v="0"/>
    <x v="2"/>
    <n v="4"/>
    <n v="50"/>
    <x v="7"/>
  </r>
  <r>
    <x v="208"/>
    <d v="2023-12-20T00:00:00"/>
    <x v="208"/>
    <x v="1"/>
    <x v="4"/>
    <x v="2"/>
    <n v="4"/>
    <n v="50"/>
    <x v="7"/>
  </r>
  <r>
    <x v="209"/>
    <d v="2023-04-13T00:00:00"/>
    <x v="209"/>
    <x v="0"/>
    <x v="3"/>
    <x v="2"/>
    <n v="4"/>
    <n v="50"/>
    <x v="7"/>
  </r>
  <r>
    <x v="210"/>
    <d v="2024-01-01T00:00:00"/>
    <x v="210"/>
    <x v="0"/>
    <x v="13"/>
    <x v="0"/>
    <n v="3"/>
    <n v="500"/>
    <x v="9"/>
  </r>
  <r>
    <x v="211"/>
    <d v="2023-06-09T00:00:00"/>
    <x v="211"/>
    <x v="0"/>
    <x v="34"/>
    <x v="1"/>
    <n v="3"/>
    <n v="500"/>
    <x v="9"/>
  </r>
  <r>
    <x v="212"/>
    <d v="2023-07-24T00:00:00"/>
    <x v="212"/>
    <x v="0"/>
    <x v="15"/>
    <x v="0"/>
    <n v="3"/>
    <n v="500"/>
    <x v="9"/>
  </r>
  <r>
    <x v="213"/>
    <d v="2023-12-10T00:00:00"/>
    <x v="213"/>
    <x v="0"/>
    <x v="29"/>
    <x v="0"/>
    <n v="2"/>
    <n v="30"/>
    <x v="17"/>
  </r>
  <r>
    <x v="214"/>
    <d v="2023-11-29T00:00:00"/>
    <x v="214"/>
    <x v="0"/>
    <x v="26"/>
    <x v="1"/>
    <n v="3"/>
    <n v="500"/>
    <x v="9"/>
  </r>
  <r>
    <x v="215"/>
    <d v="2023-07-11T00:00:00"/>
    <x v="215"/>
    <x v="0"/>
    <x v="17"/>
    <x v="2"/>
    <n v="2"/>
    <n v="50"/>
    <x v="4"/>
  </r>
  <r>
    <x v="216"/>
    <d v="2023-08-13T00:00:00"/>
    <x v="216"/>
    <x v="1"/>
    <x v="10"/>
    <x v="2"/>
    <n v="4"/>
    <n v="50"/>
    <x v="7"/>
  </r>
  <r>
    <x v="217"/>
    <d v="2023-09-22T00:00:00"/>
    <x v="217"/>
    <x v="0"/>
    <x v="12"/>
    <x v="0"/>
    <n v="3"/>
    <n v="30"/>
    <x v="15"/>
  </r>
  <r>
    <x v="218"/>
    <d v="2023-08-20T00:00:00"/>
    <x v="218"/>
    <x v="1"/>
    <x v="45"/>
    <x v="2"/>
    <n v="3"/>
    <n v="30"/>
    <x v="15"/>
  </r>
  <r>
    <x v="219"/>
    <d v="2023-03-03T00:00:00"/>
    <x v="219"/>
    <x v="0"/>
    <x v="12"/>
    <x v="0"/>
    <n v="1"/>
    <n v="500"/>
    <x v="3"/>
  </r>
  <r>
    <x v="220"/>
    <d v="2023-05-07T00:00:00"/>
    <x v="220"/>
    <x v="0"/>
    <x v="23"/>
    <x v="0"/>
    <n v="2"/>
    <n v="300"/>
    <x v="6"/>
  </r>
  <r>
    <x v="221"/>
    <d v="2023-04-26T00:00:00"/>
    <x v="221"/>
    <x v="0"/>
    <x v="25"/>
    <x v="1"/>
    <n v="4"/>
    <n v="30"/>
    <x v="10"/>
  </r>
  <r>
    <x v="222"/>
    <d v="2023-02-02T00:00:00"/>
    <x v="222"/>
    <x v="1"/>
    <x v="12"/>
    <x v="1"/>
    <n v="1"/>
    <n v="25"/>
    <x v="16"/>
  </r>
  <r>
    <x v="223"/>
    <d v="2023-06-23T00:00:00"/>
    <x v="223"/>
    <x v="1"/>
    <x v="36"/>
    <x v="1"/>
    <n v="1"/>
    <n v="50"/>
    <x v="5"/>
  </r>
  <r>
    <x v="224"/>
    <d v="2023-01-11T00:00:00"/>
    <x v="224"/>
    <x v="1"/>
    <x v="35"/>
    <x v="0"/>
    <n v="4"/>
    <n v="25"/>
    <x v="4"/>
  </r>
  <r>
    <x v="225"/>
    <d v="2023-10-29T00:00:00"/>
    <x v="225"/>
    <x v="1"/>
    <x v="39"/>
    <x v="1"/>
    <n v="1"/>
    <n v="50"/>
    <x v="5"/>
  </r>
  <r>
    <x v="226"/>
    <d v="2023-10-11T00:00:00"/>
    <x v="226"/>
    <x v="0"/>
    <x v="32"/>
    <x v="2"/>
    <n v="2"/>
    <n v="50"/>
    <x v="4"/>
  </r>
  <r>
    <x v="227"/>
    <d v="2023-04-28T00:00:00"/>
    <x v="227"/>
    <x v="1"/>
    <x v="42"/>
    <x v="2"/>
    <n v="2"/>
    <n v="30"/>
    <x v="17"/>
  </r>
  <r>
    <x v="228"/>
    <d v="2023-10-29T00:00:00"/>
    <x v="228"/>
    <x v="0"/>
    <x v="26"/>
    <x v="0"/>
    <n v="3"/>
    <n v="30"/>
    <x v="15"/>
  </r>
  <r>
    <x v="229"/>
    <d v="2023-04-23T00:00:00"/>
    <x v="229"/>
    <x v="0"/>
    <x v="31"/>
    <x v="0"/>
    <n v="1"/>
    <n v="25"/>
    <x v="16"/>
  </r>
  <r>
    <x v="230"/>
    <d v="2023-01-04T00:00:00"/>
    <x v="230"/>
    <x v="1"/>
    <x v="9"/>
    <x v="1"/>
    <n v="3"/>
    <n v="50"/>
    <x v="0"/>
  </r>
  <r>
    <x v="231"/>
    <d v="2023-02-06T00:00:00"/>
    <x v="231"/>
    <x v="1"/>
    <x v="22"/>
    <x v="0"/>
    <n v="1"/>
    <n v="25"/>
    <x v="16"/>
  </r>
  <r>
    <x v="232"/>
    <d v="2023-12-29T00:00:00"/>
    <x v="232"/>
    <x v="1"/>
    <x v="25"/>
    <x v="0"/>
    <n v="2"/>
    <n v="300"/>
    <x v="6"/>
  </r>
  <r>
    <x v="233"/>
    <d v="2023-11-20T00:00:00"/>
    <x v="233"/>
    <x v="1"/>
    <x v="17"/>
    <x v="2"/>
    <n v="2"/>
    <n v="25"/>
    <x v="5"/>
  </r>
  <r>
    <x v="234"/>
    <d v="2023-01-31T00:00:00"/>
    <x v="234"/>
    <x v="1"/>
    <x v="9"/>
    <x v="2"/>
    <n v="2"/>
    <n v="500"/>
    <x v="1"/>
  </r>
  <r>
    <x v="235"/>
    <d v="2023-04-28T00:00:00"/>
    <x v="235"/>
    <x v="1"/>
    <x v="31"/>
    <x v="1"/>
    <n v="1"/>
    <n v="25"/>
    <x v="16"/>
  </r>
  <r>
    <x v="236"/>
    <d v="2023-02-04T00:00:00"/>
    <x v="236"/>
    <x v="1"/>
    <x v="2"/>
    <x v="0"/>
    <n v="2"/>
    <n v="500"/>
    <x v="1"/>
  </r>
  <r>
    <x v="237"/>
    <d v="2023-01-17T00:00:00"/>
    <x v="237"/>
    <x v="1"/>
    <x v="23"/>
    <x v="0"/>
    <n v="1"/>
    <n v="500"/>
    <x v="3"/>
  </r>
  <r>
    <x v="238"/>
    <d v="2023-06-19T00:00:00"/>
    <x v="238"/>
    <x v="0"/>
    <x v="21"/>
    <x v="2"/>
    <n v="3"/>
    <n v="500"/>
    <x v="9"/>
  </r>
  <r>
    <x v="239"/>
    <d v="2023-02-06T00:00:00"/>
    <x v="239"/>
    <x v="1"/>
    <x v="9"/>
    <x v="0"/>
    <n v="1"/>
    <n v="300"/>
    <x v="13"/>
  </r>
  <r>
    <x v="240"/>
    <d v="2023-09-21T00:00:00"/>
    <x v="240"/>
    <x v="1"/>
    <x v="9"/>
    <x v="2"/>
    <n v="3"/>
    <n v="25"/>
    <x v="8"/>
  </r>
  <r>
    <x v="241"/>
    <d v="2023-05-02T00:00:00"/>
    <x v="241"/>
    <x v="0"/>
    <x v="34"/>
    <x v="1"/>
    <n v="1"/>
    <n v="25"/>
    <x v="16"/>
  </r>
  <r>
    <x v="242"/>
    <d v="2023-05-23T00:00:00"/>
    <x v="242"/>
    <x v="1"/>
    <x v="16"/>
    <x v="2"/>
    <n v="3"/>
    <n v="300"/>
    <x v="12"/>
  </r>
  <r>
    <x v="243"/>
    <d v="2023-12-09T00:00:00"/>
    <x v="243"/>
    <x v="0"/>
    <x v="20"/>
    <x v="0"/>
    <n v="2"/>
    <n v="50"/>
    <x v="4"/>
  </r>
  <r>
    <x v="244"/>
    <d v="2023-09-06T00:00:00"/>
    <x v="244"/>
    <x v="0"/>
    <x v="16"/>
    <x v="1"/>
    <n v="3"/>
    <n v="30"/>
    <x v="15"/>
  </r>
  <r>
    <x v="245"/>
    <d v="2023-04-20T00:00:00"/>
    <x v="245"/>
    <x v="1"/>
    <x v="27"/>
    <x v="2"/>
    <n v="2"/>
    <n v="25"/>
    <x v="5"/>
  </r>
  <r>
    <x v="246"/>
    <d v="2023-10-04T00:00:00"/>
    <x v="246"/>
    <x v="0"/>
    <x v="41"/>
    <x v="2"/>
    <n v="2"/>
    <n v="30"/>
    <x v="17"/>
  </r>
  <r>
    <x v="247"/>
    <d v="2023-03-09T00:00:00"/>
    <x v="247"/>
    <x v="0"/>
    <x v="1"/>
    <x v="1"/>
    <n v="3"/>
    <n v="300"/>
    <x v="12"/>
  </r>
  <r>
    <x v="248"/>
    <d v="2023-10-20T00:00:00"/>
    <x v="248"/>
    <x v="0"/>
    <x v="29"/>
    <x v="1"/>
    <n v="1"/>
    <n v="50"/>
    <x v="5"/>
  </r>
  <r>
    <x v="249"/>
    <d v="2023-10-23T00:00:00"/>
    <x v="249"/>
    <x v="0"/>
    <x v="27"/>
    <x v="2"/>
    <n v="1"/>
    <n v="50"/>
    <x v="5"/>
  </r>
  <r>
    <x v="250"/>
    <d v="2023-08-31T00:00:00"/>
    <x v="250"/>
    <x v="1"/>
    <x v="35"/>
    <x v="0"/>
    <n v="4"/>
    <n v="50"/>
    <x v="7"/>
  </r>
  <r>
    <x v="251"/>
    <d v="2023-05-05T00:00:00"/>
    <x v="251"/>
    <x v="0"/>
    <x v="31"/>
    <x v="2"/>
    <n v="1"/>
    <n v="300"/>
    <x v="13"/>
  </r>
  <r>
    <x v="252"/>
    <d v="2023-08-31T00:00:00"/>
    <x v="252"/>
    <x v="1"/>
    <x v="45"/>
    <x v="1"/>
    <n v="4"/>
    <n v="500"/>
    <x v="11"/>
  </r>
  <r>
    <x v="253"/>
    <d v="2023-07-28T00:00:00"/>
    <x v="253"/>
    <x v="0"/>
    <x v="41"/>
    <x v="2"/>
    <n v="1"/>
    <n v="500"/>
    <x v="3"/>
  </r>
  <r>
    <x v="254"/>
    <d v="2023-04-08T00:00:00"/>
    <x v="254"/>
    <x v="0"/>
    <x v="27"/>
    <x v="1"/>
    <n v="1"/>
    <n v="30"/>
    <x v="2"/>
  </r>
  <r>
    <x v="255"/>
    <d v="2023-02-18T00:00:00"/>
    <x v="255"/>
    <x v="0"/>
    <x v="9"/>
    <x v="1"/>
    <n v="2"/>
    <n v="500"/>
    <x v="1"/>
  </r>
  <r>
    <x v="256"/>
    <d v="2023-02-19T00:00:00"/>
    <x v="256"/>
    <x v="0"/>
    <x v="14"/>
    <x v="0"/>
    <n v="4"/>
    <n v="500"/>
    <x v="11"/>
  </r>
  <r>
    <x v="257"/>
    <d v="2023-12-04T00:00:00"/>
    <x v="257"/>
    <x v="1"/>
    <x v="3"/>
    <x v="1"/>
    <n v="1"/>
    <n v="50"/>
    <x v="5"/>
  </r>
  <r>
    <x v="258"/>
    <d v="2023-08-09T00:00:00"/>
    <x v="258"/>
    <x v="1"/>
    <x v="5"/>
    <x v="1"/>
    <n v="4"/>
    <n v="50"/>
    <x v="7"/>
  </r>
  <r>
    <x v="259"/>
    <d v="2023-07-01T00:00:00"/>
    <x v="259"/>
    <x v="0"/>
    <x v="20"/>
    <x v="0"/>
    <n v="2"/>
    <n v="30"/>
    <x v="17"/>
  </r>
  <r>
    <x v="260"/>
    <d v="2023-08-05T00:00:00"/>
    <x v="260"/>
    <x v="0"/>
    <x v="34"/>
    <x v="1"/>
    <n v="2"/>
    <n v="25"/>
    <x v="5"/>
  </r>
  <r>
    <x v="261"/>
    <d v="2023-07-30T00:00:00"/>
    <x v="261"/>
    <x v="1"/>
    <x v="40"/>
    <x v="0"/>
    <n v="4"/>
    <n v="30"/>
    <x v="10"/>
  </r>
  <r>
    <x v="262"/>
    <d v="2023-08-28T00:00:00"/>
    <x v="262"/>
    <x v="0"/>
    <x v="9"/>
    <x v="0"/>
    <n v="2"/>
    <n v="30"/>
    <x v="17"/>
  </r>
  <r>
    <x v="263"/>
    <d v="2023-01-28T00:00:00"/>
    <x v="263"/>
    <x v="0"/>
    <x v="16"/>
    <x v="1"/>
    <n v="3"/>
    <n v="300"/>
    <x v="12"/>
  </r>
  <r>
    <x v="264"/>
    <d v="2023-12-11T00:00:00"/>
    <x v="264"/>
    <x v="0"/>
    <x v="28"/>
    <x v="1"/>
    <n v="3"/>
    <n v="300"/>
    <x v="12"/>
  </r>
  <r>
    <x v="265"/>
    <d v="2023-12-01T00:00:00"/>
    <x v="265"/>
    <x v="1"/>
    <x v="14"/>
    <x v="2"/>
    <n v="2"/>
    <n v="30"/>
    <x v="17"/>
  </r>
  <r>
    <x v="266"/>
    <d v="2023-11-27T00:00:00"/>
    <x v="266"/>
    <x v="1"/>
    <x v="40"/>
    <x v="0"/>
    <n v="3"/>
    <n v="30"/>
    <x v="15"/>
  </r>
  <r>
    <x v="267"/>
    <d v="2023-02-20T00:00:00"/>
    <x v="267"/>
    <x v="1"/>
    <x v="20"/>
    <x v="2"/>
    <n v="1"/>
    <n v="30"/>
    <x v="2"/>
  </r>
  <r>
    <x v="268"/>
    <d v="2023-02-01T00:00:00"/>
    <x v="268"/>
    <x v="0"/>
    <x v="36"/>
    <x v="1"/>
    <n v="4"/>
    <n v="500"/>
    <x v="11"/>
  </r>
  <r>
    <x v="269"/>
    <d v="2023-07-26T00:00:00"/>
    <x v="269"/>
    <x v="0"/>
    <x v="22"/>
    <x v="2"/>
    <n v="1"/>
    <n v="300"/>
    <x v="13"/>
  </r>
  <r>
    <x v="270"/>
    <d v="2023-06-23T00:00:00"/>
    <x v="270"/>
    <x v="1"/>
    <x v="17"/>
    <x v="0"/>
    <n v="4"/>
    <n v="30"/>
    <x v="10"/>
  </r>
  <r>
    <x v="271"/>
    <d v="2023-02-25T00:00:00"/>
    <x v="271"/>
    <x v="1"/>
    <x v="39"/>
    <x v="2"/>
    <n v="2"/>
    <n v="50"/>
    <x v="4"/>
  </r>
  <r>
    <x v="272"/>
    <d v="2023-05-08T00:00:00"/>
    <x v="272"/>
    <x v="1"/>
    <x v="11"/>
    <x v="0"/>
    <n v="1"/>
    <n v="50"/>
    <x v="5"/>
  </r>
  <r>
    <x v="273"/>
    <d v="2023-04-09T00:00:00"/>
    <x v="273"/>
    <x v="1"/>
    <x v="9"/>
    <x v="1"/>
    <n v="2"/>
    <n v="500"/>
    <x v="1"/>
  </r>
  <r>
    <x v="274"/>
    <d v="2023-04-08T00:00:00"/>
    <x v="274"/>
    <x v="0"/>
    <x v="22"/>
    <x v="1"/>
    <n v="2"/>
    <n v="500"/>
    <x v="1"/>
  </r>
  <r>
    <x v="275"/>
    <d v="2023-10-02T00:00:00"/>
    <x v="275"/>
    <x v="1"/>
    <x v="34"/>
    <x v="0"/>
    <n v="4"/>
    <n v="25"/>
    <x v="4"/>
  </r>
  <r>
    <x v="276"/>
    <d v="2023-08-18T00:00:00"/>
    <x v="276"/>
    <x v="0"/>
    <x v="32"/>
    <x v="1"/>
    <n v="4"/>
    <n v="25"/>
    <x v="4"/>
  </r>
  <r>
    <x v="277"/>
    <d v="2023-03-13T00:00:00"/>
    <x v="277"/>
    <x v="1"/>
    <x v="3"/>
    <x v="1"/>
    <n v="4"/>
    <n v="25"/>
    <x v="4"/>
  </r>
  <r>
    <x v="278"/>
    <d v="2023-08-05T00:00:00"/>
    <x v="278"/>
    <x v="0"/>
    <x v="2"/>
    <x v="1"/>
    <n v="1"/>
    <n v="500"/>
    <x v="3"/>
  </r>
  <r>
    <x v="279"/>
    <d v="2023-04-04T00:00:00"/>
    <x v="279"/>
    <x v="1"/>
    <x v="3"/>
    <x v="1"/>
    <n v="3"/>
    <n v="500"/>
    <x v="9"/>
  </r>
  <r>
    <x v="280"/>
    <d v="2023-05-23T00:00:00"/>
    <x v="280"/>
    <x v="1"/>
    <x v="38"/>
    <x v="0"/>
    <n v="4"/>
    <n v="500"/>
    <x v="11"/>
  </r>
  <r>
    <x v="281"/>
    <d v="2023-08-25T00:00:00"/>
    <x v="281"/>
    <x v="1"/>
    <x v="12"/>
    <x v="2"/>
    <n v="4"/>
    <n v="50"/>
    <x v="7"/>
  </r>
  <r>
    <x v="282"/>
    <d v="2023-05-08T00:00:00"/>
    <x v="282"/>
    <x v="1"/>
    <x v="18"/>
    <x v="2"/>
    <n v="1"/>
    <n v="500"/>
    <x v="3"/>
  </r>
  <r>
    <x v="283"/>
    <d v="2023-02-08T00:00:00"/>
    <x v="283"/>
    <x v="0"/>
    <x v="22"/>
    <x v="1"/>
    <n v="4"/>
    <n v="50"/>
    <x v="7"/>
  </r>
  <r>
    <x v="284"/>
    <d v="2023-08-15T00:00:00"/>
    <x v="284"/>
    <x v="1"/>
    <x v="33"/>
    <x v="2"/>
    <n v="1"/>
    <n v="25"/>
    <x v="16"/>
  </r>
  <r>
    <x v="285"/>
    <d v="2023-10-09T00:00:00"/>
    <x v="285"/>
    <x v="0"/>
    <x v="28"/>
    <x v="2"/>
    <n v="2"/>
    <n v="25"/>
    <x v="5"/>
  </r>
  <r>
    <x v="286"/>
    <d v="2023-02-20T00:00:00"/>
    <x v="286"/>
    <x v="0"/>
    <x v="31"/>
    <x v="1"/>
    <n v="4"/>
    <n v="25"/>
    <x v="4"/>
  </r>
  <r>
    <x v="287"/>
    <d v="2023-01-26T00:00:00"/>
    <x v="287"/>
    <x v="0"/>
    <x v="20"/>
    <x v="1"/>
    <n v="4"/>
    <n v="30"/>
    <x v="10"/>
  </r>
  <r>
    <x v="288"/>
    <d v="2023-11-30T00:00:00"/>
    <x v="288"/>
    <x v="0"/>
    <x v="45"/>
    <x v="2"/>
    <n v="2"/>
    <n v="30"/>
    <x v="17"/>
  </r>
  <r>
    <x v="289"/>
    <d v="2023-10-04T00:00:00"/>
    <x v="289"/>
    <x v="1"/>
    <x v="4"/>
    <x v="0"/>
    <n v="2"/>
    <n v="300"/>
    <x v="6"/>
  </r>
  <r>
    <x v="290"/>
    <d v="2023-01-08T00:00:00"/>
    <x v="290"/>
    <x v="0"/>
    <x v="43"/>
    <x v="1"/>
    <n v="2"/>
    <n v="300"/>
    <x v="6"/>
  </r>
  <r>
    <x v="291"/>
    <d v="2023-02-17T00:00:00"/>
    <x v="291"/>
    <x v="0"/>
    <x v="29"/>
    <x v="0"/>
    <n v="4"/>
    <n v="300"/>
    <x v="14"/>
  </r>
  <r>
    <x v="292"/>
    <d v="2023-05-02T00:00:00"/>
    <x v="292"/>
    <x v="0"/>
    <x v="2"/>
    <x v="2"/>
    <n v="3"/>
    <n v="30"/>
    <x v="15"/>
  </r>
  <r>
    <x v="293"/>
    <d v="2023-03-27T00:00:00"/>
    <x v="293"/>
    <x v="1"/>
    <x v="9"/>
    <x v="1"/>
    <n v="3"/>
    <n v="30"/>
    <x v="15"/>
  </r>
  <r>
    <x v="294"/>
    <d v="2023-07-28T00:00:00"/>
    <x v="294"/>
    <x v="1"/>
    <x v="15"/>
    <x v="0"/>
    <n v="3"/>
    <n v="300"/>
    <x v="12"/>
  </r>
  <r>
    <x v="295"/>
    <d v="2023-09-06T00:00:00"/>
    <x v="295"/>
    <x v="1"/>
    <x v="11"/>
    <x v="1"/>
    <n v="4"/>
    <n v="300"/>
    <x v="14"/>
  </r>
  <r>
    <x v="296"/>
    <d v="2023-09-04T00:00:00"/>
    <x v="296"/>
    <x v="1"/>
    <x v="30"/>
    <x v="2"/>
    <n v="2"/>
    <n v="500"/>
    <x v="1"/>
  </r>
  <r>
    <x v="297"/>
    <d v="2023-04-20T00:00:00"/>
    <x v="297"/>
    <x v="0"/>
    <x v="15"/>
    <x v="0"/>
    <n v="4"/>
    <n v="300"/>
    <x v="14"/>
  </r>
  <r>
    <x v="298"/>
    <d v="2023-07-25T00:00:00"/>
    <x v="298"/>
    <x v="0"/>
    <x v="39"/>
    <x v="2"/>
    <n v="2"/>
    <n v="500"/>
    <x v="1"/>
  </r>
  <r>
    <x v="299"/>
    <d v="2023-01-31T00:00:00"/>
    <x v="299"/>
    <x v="1"/>
    <x v="14"/>
    <x v="2"/>
    <n v="4"/>
    <n v="50"/>
    <x v="7"/>
  </r>
  <r>
    <x v="300"/>
    <d v="2023-03-26T00:00:00"/>
    <x v="300"/>
    <x v="0"/>
    <x v="4"/>
    <x v="1"/>
    <n v="4"/>
    <n v="30"/>
    <x v="10"/>
  </r>
  <r>
    <x v="301"/>
    <d v="2023-07-14T00:00:00"/>
    <x v="301"/>
    <x v="0"/>
    <x v="35"/>
    <x v="0"/>
    <n v="2"/>
    <n v="300"/>
    <x v="6"/>
  </r>
  <r>
    <x v="302"/>
    <d v="2023-01-02T00:00:00"/>
    <x v="302"/>
    <x v="0"/>
    <x v="14"/>
    <x v="2"/>
    <n v="3"/>
    <n v="30"/>
    <x v="15"/>
  </r>
  <r>
    <x v="303"/>
    <d v="2023-07-19T00:00:00"/>
    <x v="303"/>
    <x v="1"/>
    <x v="3"/>
    <x v="2"/>
    <n v="2"/>
    <n v="30"/>
    <x v="17"/>
  </r>
  <r>
    <x v="304"/>
    <d v="2023-05-16T00:00:00"/>
    <x v="304"/>
    <x v="1"/>
    <x v="18"/>
    <x v="0"/>
    <n v="1"/>
    <n v="30"/>
    <x v="2"/>
  </r>
  <r>
    <x v="305"/>
    <d v="2023-08-21T00:00:00"/>
    <x v="305"/>
    <x v="0"/>
    <x v="31"/>
    <x v="2"/>
    <n v="1"/>
    <n v="50"/>
    <x v="5"/>
  </r>
  <r>
    <x v="306"/>
    <d v="2023-05-27T00:00:00"/>
    <x v="306"/>
    <x v="1"/>
    <x v="1"/>
    <x v="2"/>
    <n v="2"/>
    <n v="25"/>
    <x v="5"/>
  </r>
  <r>
    <x v="307"/>
    <d v="2023-08-05T00:00:00"/>
    <x v="307"/>
    <x v="1"/>
    <x v="0"/>
    <x v="0"/>
    <n v="4"/>
    <n v="300"/>
    <x v="14"/>
  </r>
  <r>
    <x v="308"/>
    <d v="2023-12-23T00:00:00"/>
    <x v="308"/>
    <x v="1"/>
    <x v="1"/>
    <x v="0"/>
    <n v="1"/>
    <n v="25"/>
    <x v="16"/>
  </r>
  <r>
    <x v="309"/>
    <d v="2023-10-12T00:00:00"/>
    <x v="309"/>
    <x v="1"/>
    <x v="20"/>
    <x v="0"/>
    <n v="1"/>
    <n v="25"/>
    <x v="16"/>
  </r>
  <r>
    <x v="310"/>
    <d v="2023-12-05T00:00:00"/>
    <x v="310"/>
    <x v="1"/>
    <x v="40"/>
    <x v="0"/>
    <n v="4"/>
    <n v="25"/>
    <x v="4"/>
  </r>
  <r>
    <x v="311"/>
    <d v="2023-09-07T00:00:00"/>
    <x v="311"/>
    <x v="0"/>
    <x v="41"/>
    <x v="1"/>
    <n v="4"/>
    <n v="30"/>
    <x v="10"/>
  </r>
  <r>
    <x v="312"/>
    <d v="2023-03-21T00:00:00"/>
    <x v="312"/>
    <x v="1"/>
    <x v="28"/>
    <x v="0"/>
    <n v="3"/>
    <n v="500"/>
    <x v="9"/>
  </r>
  <r>
    <x v="313"/>
    <d v="2023-04-08T00:00:00"/>
    <x v="313"/>
    <x v="0"/>
    <x v="8"/>
    <x v="1"/>
    <n v="4"/>
    <n v="30"/>
    <x v="10"/>
  </r>
  <r>
    <x v="314"/>
    <d v="2023-06-01T00:00:00"/>
    <x v="314"/>
    <x v="0"/>
    <x v="16"/>
    <x v="1"/>
    <n v="2"/>
    <n v="30"/>
    <x v="17"/>
  </r>
  <r>
    <x v="315"/>
    <d v="2023-04-22T00:00:00"/>
    <x v="315"/>
    <x v="1"/>
    <x v="27"/>
    <x v="1"/>
    <n v="2"/>
    <n v="25"/>
    <x v="5"/>
  </r>
  <r>
    <x v="316"/>
    <d v="2023-01-30T00:00:00"/>
    <x v="316"/>
    <x v="0"/>
    <x v="11"/>
    <x v="2"/>
    <n v="3"/>
    <n v="30"/>
    <x v="15"/>
  </r>
  <r>
    <x v="317"/>
    <d v="2023-10-24T00:00:00"/>
    <x v="317"/>
    <x v="0"/>
    <x v="39"/>
    <x v="1"/>
    <n v="1"/>
    <n v="25"/>
    <x v="16"/>
  </r>
  <r>
    <x v="318"/>
    <d v="2023-10-05T00:00:00"/>
    <x v="318"/>
    <x v="0"/>
    <x v="33"/>
    <x v="1"/>
    <n v="1"/>
    <n v="500"/>
    <x v="3"/>
  </r>
  <r>
    <x v="319"/>
    <d v="2023-02-01T00:00:00"/>
    <x v="319"/>
    <x v="1"/>
    <x v="20"/>
    <x v="2"/>
    <n v="4"/>
    <n v="300"/>
    <x v="14"/>
  </r>
  <r>
    <x v="320"/>
    <d v="2023-06-10T00:00:00"/>
    <x v="320"/>
    <x v="1"/>
    <x v="1"/>
    <x v="2"/>
    <n v="2"/>
    <n v="25"/>
    <x v="5"/>
  </r>
  <r>
    <x v="321"/>
    <d v="2023-01-30T00:00:00"/>
    <x v="321"/>
    <x v="0"/>
    <x v="25"/>
    <x v="2"/>
    <n v="1"/>
    <n v="500"/>
    <x v="3"/>
  </r>
  <r>
    <x v="322"/>
    <d v="2023-01-26T00:00:00"/>
    <x v="322"/>
    <x v="1"/>
    <x v="38"/>
    <x v="0"/>
    <n v="3"/>
    <n v="300"/>
    <x v="12"/>
  </r>
  <r>
    <x v="323"/>
    <d v="2023-10-27T00:00:00"/>
    <x v="323"/>
    <x v="1"/>
    <x v="8"/>
    <x v="2"/>
    <n v="3"/>
    <n v="50"/>
    <x v="0"/>
  </r>
  <r>
    <x v="324"/>
    <d v="2023-09-02T00:00:00"/>
    <x v="324"/>
    <x v="1"/>
    <x v="8"/>
    <x v="2"/>
    <n v="2"/>
    <n v="25"/>
    <x v="5"/>
  </r>
  <r>
    <x v="325"/>
    <d v="2023-09-15T00:00:00"/>
    <x v="325"/>
    <x v="1"/>
    <x v="18"/>
    <x v="1"/>
    <n v="3"/>
    <n v="25"/>
    <x v="8"/>
  </r>
  <r>
    <x v="326"/>
    <d v="2023-09-29T00:00:00"/>
    <x v="326"/>
    <x v="0"/>
    <x v="35"/>
    <x v="2"/>
    <n v="3"/>
    <n v="50"/>
    <x v="0"/>
  </r>
  <r>
    <x v="327"/>
    <d v="2023-03-22T00:00:00"/>
    <x v="327"/>
    <x v="0"/>
    <x v="23"/>
    <x v="0"/>
    <n v="2"/>
    <n v="50"/>
    <x v="4"/>
  </r>
  <r>
    <x v="328"/>
    <d v="2023-01-30T00:00:00"/>
    <x v="328"/>
    <x v="1"/>
    <x v="6"/>
    <x v="2"/>
    <n v="4"/>
    <n v="25"/>
    <x v="4"/>
  </r>
  <r>
    <x v="329"/>
    <d v="2023-09-18T00:00:00"/>
    <x v="329"/>
    <x v="1"/>
    <x v="36"/>
    <x v="0"/>
    <n v="4"/>
    <n v="50"/>
    <x v="7"/>
  </r>
  <r>
    <x v="330"/>
    <d v="2023-02-11T00:00:00"/>
    <x v="330"/>
    <x v="0"/>
    <x v="20"/>
    <x v="2"/>
    <n v="3"/>
    <n v="30"/>
    <x v="15"/>
  </r>
  <r>
    <x v="331"/>
    <d v="2023-04-06T00:00:00"/>
    <x v="331"/>
    <x v="0"/>
    <x v="26"/>
    <x v="2"/>
    <n v="4"/>
    <n v="300"/>
    <x v="14"/>
  </r>
  <r>
    <x v="332"/>
    <d v="2023-02-05T00:00:00"/>
    <x v="332"/>
    <x v="1"/>
    <x v="31"/>
    <x v="2"/>
    <n v="4"/>
    <n v="300"/>
    <x v="14"/>
  </r>
  <r>
    <x v="333"/>
    <d v="2023-11-01T00:00:00"/>
    <x v="333"/>
    <x v="0"/>
    <x v="33"/>
    <x v="2"/>
    <n v="3"/>
    <n v="300"/>
    <x v="12"/>
  </r>
  <r>
    <x v="334"/>
    <d v="2023-02-04T00:00:00"/>
    <x v="334"/>
    <x v="1"/>
    <x v="16"/>
    <x v="0"/>
    <n v="4"/>
    <n v="30"/>
    <x v="10"/>
  </r>
  <r>
    <x v="335"/>
    <d v="2023-12-12T00:00:00"/>
    <x v="335"/>
    <x v="1"/>
    <x v="8"/>
    <x v="0"/>
    <n v="3"/>
    <n v="50"/>
    <x v="0"/>
  </r>
  <r>
    <x v="336"/>
    <d v="2023-05-01T00:00:00"/>
    <x v="336"/>
    <x v="0"/>
    <x v="21"/>
    <x v="1"/>
    <n v="1"/>
    <n v="500"/>
    <x v="3"/>
  </r>
  <r>
    <x v="337"/>
    <d v="2023-07-26T00:00:00"/>
    <x v="337"/>
    <x v="0"/>
    <x v="31"/>
    <x v="0"/>
    <n v="2"/>
    <n v="50"/>
    <x v="4"/>
  </r>
  <r>
    <x v="338"/>
    <d v="2023-03-03T00:00:00"/>
    <x v="338"/>
    <x v="1"/>
    <x v="11"/>
    <x v="2"/>
    <n v="2"/>
    <n v="25"/>
    <x v="5"/>
  </r>
  <r>
    <x v="339"/>
    <d v="2023-10-19T00:00:00"/>
    <x v="339"/>
    <x v="1"/>
    <x v="32"/>
    <x v="1"/>
    <n v="4"/>
    <n v="300"/>
    <x v="14"/>
  </r>
  <r>
    <x v="340"/>
    <d v="2023-05-07T00:00:00"/>
    <x v="340"/>
    <x v="0"/>
    <x v="33"/>
    <x v="1"/>
    <n v="4"/>
    <n v="50"/>
    <x v="7"/>
  </r>
  <r>
    <x v="341"/>
    <d v="2023-10-24T00:00:00"/>
    <x v="341"/>
    <x v="1"/>
    <x v="22"/>
    <x v="1"/>
    <n v="4"/>
    <n v="500"/>
    <x v="11"/>
  </r>
  <r>
    <x v="342"/>
    <d v="2023-11-01T00:00:00"/>
    <x v="342"/>
    <x v="0"/>
    <x v="34"/>
    <x v="2"/>
    <n v="2"/>
    <n v="25"/>
    <x v="5"/>
  </r>
  <r>
    <x v="343"/>
    <d v="2023-01-21T00:00:00"/>
    <x v="343"/>
    <x v="1"/>
    <x v="13"/>
    <x v="0"/>
    <n v="1"/>
    <n v="30"/>
    <x v="2"/>
  </r>
  <r>
    <x v="344"/>
    <d v="2023-11-14T00:00:00"/>
    <x v="344"/>
    <x v="0"/>
    <x v="17"/>
    <x v="2"/>
    <n v="1"/>
    <n v="30"/>
    <x v="2"/>
  </r>
  <r>
    <x v="345"/>
    <d v="2023-02-11T00:00:00"/>
    <x v="345"/>
    <x v="0"/>
    <x v="42"/>
    <x v="1"/>
    <n v="2"/>
    <n v="500"/>
    <x v="1"/>
  </r>
  <r>
    <x v="346"/>
    <d v="2023-08-03T00:00:00"/>
    <x v="346"/>
    <x v="0"/>
    <x v="13"/>
    <x v="2"/>
    <n v="1"/>
    <n v="25"/>
    <x v="16"/>
  </r>
  <r>
    <x v="347"/>
    <d v="2023-12-03T00:00:00"/>
    <x v="347"/>
    <x v="1"/>
    <x v="10"/>
    <x v="2"/>
    <n v="2"/>
    <n v="300"/>
    <x v="6"/>
  </r>
  <r>
    <x v="348"/>
    <d v="2023-10-26T00:00:00"/>
    <x v="348"/>
    <x v="1"/>
    <x v="35"/>
    <x v="0"/>
    <n v="1"/>
    <n v="50"/>
    <x v="5"/>
  </r>
  <r>
    <x v="349"/>
    <d v="2023-10-17T00:00:00"/>
    <x v="349"/>
    <x v="0"/>
    <x v="36"/>
    <x v="0"/>
    <n v="3"/>
    <n v="25"/>
    <x v="8"/>
  </r>
  <r>
    <x v="350"/>
    <d v="2023-09-25T00:00:00"/>
    <x v="350"/>
    <x v="1"/>
    <x v="37"/>
    <x v="1"/>
    <n v="3"/>
    <n v="30"/>
    <x v="15"/>
  </r>
  <r>
    <x v="351"/>
    <d v="2023-06-11T00:00:00"/>
    <x v="351"/>
    <x v="0"/>
    <x v="35"/>
    <x v="2"/>
    <n v="2"/>
    <n v="500"/>
    <x v="1"/>
  </r>
  <r>
    <x v="352"/>
    <d v="2023-05-14T00:00:00"/>
    <x v="352"/>
    <x v="0"/>
    <x v="33"/>
    <x v="2"/>
    <n v="1"/>
    <n v="500"/>
    <x v="3"/>
  </r>
  <r>
    <x v="353"/>
    <d v="2023-04-15T00:00:00"/>
    <x v="353"/>
    <x v="1"/>
    <x v="19"/>
    <x v="0"/>
    <n v="4"/>
    <n v="50"/>
    <x v="7"/>
  </r>
  <r>
    <x v="354"/>
    <d v="2023-12-09T00:00:00"/>
    <x v="354"/>
    <x v="1"/>
    <x v="28"/>
    <x v="2"/>
    <n v="1"/>
    <n v="500"/>
    <x v="3"/>
  </r>
  <r>
    <x v="355"/>
    <d v="2023-06-10T00:00:00"/>
    <x v="355"/>
    <x v="0"/>
    <x v="2"/>
    <x v="2"/>
    <n v="3"/>
    <n v="500"/>
    <x v="9"/>
  </r>
  <r>
    <x v="356"/>
    <d v="2023-05-03T00:00:00"/>
    <x v="356"/>
    <x v="1"/>
    <x v="30"/>
    <x v="2"/>
    <n v="3"/>
    <n v="25"/>
    <x v="8"/>
  </r>
  <r>
    <x v="357"/>
    <d v="2023-05-16T00:00:00"/>
    <x v="357"/>
    <x v="1"/>
    <x v="40"/>
    <x v="0"/>
    <n v="1"/>
    <n v="300"/>
    <x v="13"/>
  </r>
  <r>
    <x v="358"/>
    <d v="2023-07-22T00:00:00"/>
    <x v="358"/>
    <x v="0"/>
    <x v="2"/>
    <x v="1"/>
    <n v="1"/>
    <n v="50"/>
    <x v="5"/>
  </r>
  <r>
    <x v="359"/>
    <d v="2023-03-09T00:00:00"/>
    <x v="359"/>
    <x v="0"/>
    <x v="13"/>
    <x v="1"/>
    <n v="4"/>
    <n v="25"/>
    <x v="4"/>
  </r>
  <r>
    <x v="360"/>
    <d v="2023-12-10T00:00:00"/>
    <x v="360"/>
    <x v="1"/>
    <x v="0"/>
    <x v="2"/>
    <n v="4"/>
    <n v="300"/>
    <x v="14"/>
  </r>
  <r>
    <x v="361"/>
    <d v="2023-11-27T00:00:00"/>
    <x v="361"/>
    <x v="0"/>
    <x v="2"/>
    <x v="1"/>
    <n v="1"/>
    <n v="25"/>
    <x v="16"/>
  </r>
  <r>
    <x v="362"/>
    <d v="2023-06-03T00:00:00"/>
    <x v="362"/>
    <x v="0"/>
    <x v="12"/>
    <x v="0"/>
    <n v="1"/>
    <n v="25"/>
    <x v="16"/>
  </r>
  <r>
    <x v="363"/>
    <d v="2023-08-23T00:00:00"/>
    <x v="363"/>
    <x v="1"/>
    <x v="14"/>
    <x v="0"/>
    <n v="1"/>
    <n v="500"/>
    <x v="3"/>
  </r>
  <r>
    <x v="364"/>
    <d v="2023-06-11T00:00:00"/>
    <x v="364"/>
    <x v="0"/>
    <x v="33"/>
    <x v="1"/>
    <n v="1"/>
    <n v="300"/>
    <x v="13"/>
  </r>
  <r>
    <x v="365"/>
    <d v="2023-02-07T00:00:00"/>
    <x v="365"/>
    <x v="0"/>
    <x v="35"/>
    <x v="1"/>
    <n v="2"/>
    <n v="50"/>
    <x v="4"/>
  </r>
  <r>
    <x v="366"/>
    <d v="2023-01-05T00:00:00"/>
    <x v="366"/>
    <x v="1"/>
    <x v="35"/>
    <x v="2"/>
    <n v="1"/>
    <n v="50"/>
    <x v="5"/>
  </r>
  <r>
    <x v="367"/>
    <d v="2023-08-23T00:00:00"/>
    <x v="367"/>
    <x v="1"/>
    <x v="37"/>
    <x v="1"/>
    <n v="4"/>
    <n v="300"/>
    <x v="14"/>
  </r>
  <r>
    <x v="368"/>
    <d v="2023-11-15T00:00:00"/>
    <x v="368"/>
    <x v="0"/>
    <x v="9"/>
    <x v="2"/>
    <n v="3"/>
    <n v="500"/>
    <x v="9"/>
  </r>
  <r>
    <x v="369"/>
    <d v="2023-10-16T00:00:00"/>
    <x v="369"/>
    <x v="0"/>
    <x v="9"/>
    <x v="2"/>
    <n v="2"/>
    <n v="30"/>
    <x v="17"/>
  </r>
  <r>
    <x v="370"/>
    <d v="2023-02-21T00:00:00"/>
    <x v="370"/>
    <x v="1"/>
    <x v="29"/>
    <x v="0"/>
    <n v="1"/>
    <n v="25"/>
    <x v="16"/>
  </r>
  <r>
    <x v="371"/>
    <d v="2023-02-07T00:00:00"/>
    <x v="371"/>
    <x v="1"/>
    <x v="46"/>
    <x v="0"/>
    <n v="3"/>
    <n v="500"/>
    <x v="9"/>
  </r>
  <r>
    <x v="372"/>
    <d v="2023-10-03T00:00:00"/>
    <x v="372"/>
    <x v="1"/>
    <x v="36"/>
    <x v="0"/>
    <n v="2"/>
    <n v="300"/>
    <x v="6"/>
  </r>
  <r>
    <x v="373"/>
    <d v="2023-04-20T00:00:00"/>
    <x v="373"/>
    <x v="1"/>
    <x v="42"/>
    <x v="0"/>
    <n v="3"/>
    <n v="25"/>
    <x v="8"/>
  </r>
  <r>
    <x v="374"/>
    <d v="2023-09-17T00:00:00"/>
    <x v="374"/>
    <x v="0"/>
    <x v="40"/>
    <x v="1"/>
    <n v="1"/>
    <n v="50"/>
    <x v="5"/>
  </r>
  <r>
    <x v="375"/>
    <d v="2023-05-16T00:00:00"/>
    <x v="375"/>
    <x v="1"/>
    <x v="12"/>
    <x v="0"/>
    <n v="1"/>
    <n v="30"/>
    <x v="2"/>
  </r>
  <r>
    <x v="376"/>
    <d v="2023-03-09T00:00:00"/>
    <x v="376"/>
    <x v="1"/>
    <x v="6"/>
    <x v="1"/>
    <n v="4"/>
    <n v="50"/>
    <x v="7"/>
  </r>
  <r>
    <x v="377"/>
    <d v="2023-06-28T00:00:00"/>
    <x v="377"/>
    <x v="0"/>
    <x v="2"/>
    <x v="0"/>
    <n v="1"/>
    <n v="300"/>
    <x v="13"/>
  </r>
  <r>
    <x v="378"/>
    <d v="2023-02-05T00:00:00"/>
    <x v="378"/>
    <x v="1"/>
    <x v="16"/>
    <x v="1"/>
    <n v="1"/>
    <n v="25"/>
    <x v="16"/>
  </r>
  <r>
    <x v="379"/>
    <d v="2023-05-06T00:00:00"/>
    <x v="379"/>
    <x v="0"/>
    <x v="37"/>
    <x v="2"/>
    <n v="2"/>
    <n v="300"/>
    <x v="6"/>
  </r>
  <r>
    <x v="380"/>
    <d v="2023-07-09T00:00:00"/>
    <x v="380"/>
    <x v="1"/>
    <x v="24"/>
    <x v="1"/>
    <n v="4"/>
    <n v="25"/>
    <x v="4"/>
  </r>
  <r>
    <x v="381"/>
    <d v="2023-05-26T00:00:00"/>
    <x v="381"/>
    <x v="1"/>
    <x v="45"/>
    <x v="1"/>
    <n v="2"/>
    <n v="500"/>
    <x v="1"/>
  </r>
  <r>
    <x v="382"/>
    <d v="2023-03-22T00:00:00"/>
    <x v="382"/>
    <x v="1"/>
    <x v="6"/>
    <x v="0"/>
    <n v="3"/>
    <n v="30"/>
    <x v="15"/>
  </r>
  <r>
    <x v="383"/>
    <d v="2023-08-13T00:00:00"/>
    <x v="383"/>
    <x v="0"/>
    <x v="28"/>
    <x v="1"/>
    <n v="1"/>
    <n v="500"/>
    <x v="3"/>
  </r>
  <r>
    <x v="384"/>
    <d v="2023-10-06T00:00:00"/>
    <x v="384"/>
    <x v="0"/>
    <x v="2"/>
    <x v="2"/>
    <n v="3"/>
    <n v="500"/>
    <x v="9"/>
  </r>
  <r>
    <x v="385"/>
    <d v="2023-12-27T00:00:00"/>
    <x v="385"/>
    <x v="1"/>
    <x v="31"/>
    <x v="2"/>
    <n v="2"/>
    <n v="300"/>
    <x v="6"/>
  </r>
  <r>
    <x v="386"/>
    <d v="2023-06-04T00:00:00"/>
    <x v="386"/>
    <x v="0"/>
    <x v="24"/>
    <x v="0"/>
    <n v="1"/>
    <n v="30"/>
    <x v="2"/>
  </r>
  <r>
    <x v="387"/>
    <d v="2023-11-10T00:00:00"/>
    <x v="387"/>
    <x v="0"/>
    <x v="2"/>
    <x v="2"/>
    <n v="1"/>
    <n v="25"/>
    <x v="16"/>
  </r>
  <r>
    <x v="388"/>
    <d v="2023-12-01T00:00:00"/>
    <x v="388"/>
    <x v="0"/>
    <x v="34"/>
    <x v="1"/>
    <n v="2"/>
    <n v="25"/>
    <x v="5"/>
  </r>
  <r>
    <x v="389"/>
    <d v="2023-09-28T00:00:00"/>
    <x v="389"/>
    <x v="0"/>
    <x v="23"/>
    <x v="2"/>
    <n v="2"/>
    <n v="50"/>
    <x v="4"/>
  </r>
  <r>
    <x v="390"/>
    <d v="2023-01-05T00:00:00"/>
    <x v="390"/>
    <x v="0"/>
    <x v="14"/>
    <x v="0"/>
    <n v="2"/>
    <n v="25"/>
    <x v="5"/>
  </r>
  <r>
    <x v="391"/>
    <d v="2023-12-08T00:00:00"/>
    <x v="391"/>
    <x v="0"/>
    <x v="15"/>
    <x v="1"/>
    <n v="2"/>
    <n v="300"/>
    <x v="6"/>
  </r>
  <r>
    <x v="392"/>
    <d v="2023-10-11T00:00:00"/>
    <x v="392"/>
    <x v="1"/>
    <x v="11"/>
    <x v="0"/>
    <n v="2"/>
    <n v="500"/>
    <x v="1"/>
  </r>
  <r>
    <x v="393"/>
    <d v="2023-06-03T00:00:00"/>
    <x v="393"/>
    <x v="1"/>
    <x v="15"/>
    <x v="1"/>
    <n v="1"/>
    <n v="500"/>
    <x v="3"/>
  </r>
  <r>
    <x v="394"/>
    <d v="2023-12-06T00:00:00"/>
    <x v="394"/>
    <x v="0"/>
    <x v="2"/>
    <x v="2"/>
    <n v="2"/>
    <n v="500"/>
    <x v="1"/>
  </r>
  <r>
    <x v="395"/>
    <d v="2023-02-23T00:00:00"/>
    <x v="395"/>
    <x v="1"/>
    <x v="28"/>
    <x v="0"/>
    <n v="1"/>
    <n v="30"/>
    <x v="2"/>
  </r>
  <r>
    <x v="396"/>
    <d v="2023-03-10T00:00:00"/>
    <x v="396"/>
    <x v="1"/>
    <x v="4"/>
    <x v="0"/>
    <n v="1"/>
    <n v="25"/>
    <x v="16"/>
  </r>
  <r>
    <x v="397"/>
    <d v="2023-05-16T00:00:00"/>
    <x v="397"/>
    <x v="1"/>
    <x v="27"/>
    <x v="1"/>
    <n v="2"/>
    <n v="300"/>
    <x v="6"/>
  </r>
  <r>
    <x v="398"/>
    <d v="2023-03-01T00:00:00"/>
    <x v="398"/>
    <x v="1"/>
    <x v="12"/>
    <x v="0"/>
    <n v="2"/>
    <n v="30"/>
    <x v="17"/>
  </r>
  <r>
    <x v="399"/>
    <d v="2023-02-24T00:00:00"/>
    <x v="399"/>
    <x v="0"/>
    <x v="45"/>
    <x v="1"/>
    <n v="4"/>
    <n v="50"/>
    <x v="7"/>
  </r>
  <r>
    <x v="400"/>
    <d v="2023-10-11T00:00:00"/>
    <x v="400"/>
    <x v="1"/>
    <x v="17"/>
    <x v="1"/>
    <n v="1"/>
    <n v="300"/>
    <x v="13"/>
  </r>
  <r>
    <x v="401"/>
    <d v="2023-03-21T00:00:00"/>
    <x v="401"/>
    <x v="1"/>
    <x v="41"/>
    <x v="1"/>
    <n v="2"/>
    <n v="300"/>
    <x v="6"/>
  </r>
  <r>
    <x v="402"/>
    <d v="2023-05-20T00:00:00"/>
    <x v="402"/>
    <x v="0"/>
    <x v="40"/>
    <x v="1"/>
    <n v="2"/>
    <n v="300"/>
    <x v="6"/>
  </r>
  <r>
    <x v="403"/>
    <d v="2023-05-25T00:00:00"/>
    <x v="403"/>
    <x v="0"/>
    <x v="6"/>
    <x v="2"/>
    <n v="2"/>
    <n v="500"/>
    <x v="1"/>
  </r>
  <r>
    <x v="404"/>
    <d v="2023-11-06T00:00:00"/>
    <x v="404"/>
    <x v="1"/>
    <x v="36"/>
    <x v="1"/>
    <n v="4"/>
    <n v="300"/>
    <x v="14"/>
  </r>
  <r>
    <x v="405"/>
    <d v="2023-04-18T00:00:00"/>
    <x v="405"/>
    <x v="1"/>
    <x v="11"/>
    <x v="0"/>
    <n v="4"/>
    <n v="25"/>
    <x v="4"/>
  </r>
  <r>
    <x v="406"/>
    <d v="2023-06-25T00:00:00"/>
    <x v="406"/>
    <x v="1"/>
    <x v="6"/>
    <x v="2"/>
    <n v="3"/>
    <n v="300"/>
    <x v="12"/>
  </r>
  <r>
    <x v="407"/>
    <d v="2023-04-15T00:00:00"/>
    <x v="407"/>
    <x v="1"/>
    <x v="12"/>
    <x v="0"/>
    <n v="1"/>
    <n v="500"/>
    <x v="3"/>
  </r>
  <r>
    <x v="408"/>
    <d v="2023-12-18T00:00:00"/>
    <x v="408"/>
    <x v="1"/>
    <x v="34"/>
    <x v="2"/>
    <n v="3"/>
    <n v="300"/>
    <x v="12"/>
  </r>
  <r>
    <x v="409"/>
    <d v="2023-11-21T00:00:00"/>
    <x v="409"/>
    <x v="1"/>
    <x v="38"/>
    <x v="1"/>
    <n v="2"/>
    <n v="50"/>
    <x v="4"/>
  </r>
  <r>
    <x v="410"/>
    <d v="2023-05-16T00:00:00"/>
    <x v="410"/>
    <x v="0"/>
    <x v="17"/>
    <x v="2"/>
    <n v="4"/>
    <n v="50"/>
    <x v="7"/>
  </r>
  <r>
    <x v="411"/>
    <d v="2023-09-16T00:00:00"/>
    <x v="411"/>
    <x v="1"/>
    <x v="14"/>
    <x v="2"/>
    <n v="4"/>
    <n v="500"/>
    <x v="11"/>
  </r>
  <r>
    <x v="412"/>
    <d v="2023-09-08T00:00:00"/>
    <x v="412"/>
    <x v="1"/>
    <x v="24"/>
    <x v="0"/>
    <n v="3"/>
    <n v="25"/>
    <x v="8"/>
  </r>
  <r>
    <x v="413"/>
    <d v="2023-05-09T00:00:00"/>
    <x v="413"/>
    <x v="0"/>
    <x v="27"/>
    <x v="0"/>
    <n v="4"/>
    <n v="25"/>
    <x v="4"/>
  </r>
  <r>
    <x v="414"/>
    <d v="2023-01-27T00:00:00"/>
    <x v="414"/>
    <x v="0"/>
    <x v="45"/>
    <x v="1"/>
    <n v="2"/>
    <n v="30"/>
    <x v="17"/>
  </r>
  <r>
    <x v="415"/>
    <d v="2023-02-17T00:00:00"/>
    <x v="415"/>
    <x v="0"/>
    <x v="45"/>
    <x v="2"/>
    <n v="4"/>
    <n v="500"/>
    <x v="11"/>
  </r>
  <r>
    <x v="416"/>
    <d v="2023-11-21T00:00:00"/>
    <x v="416"/>
    <x v="0"/>
    <x v="22"/>
    <x v="2"/>
    <n v="3"/>
    <n v="300"/>
    <x v="12"/>
  </r>
  <r>
    <x v="417"/>
    <d v="2023-08-05T00:00:00"/>
    <x v="417"/>
    <x v="1"/>
    <x v="43"/>
    <x v="2"/>
    <n v="2"/>
    <n v="500"/>
    <x v="1"/>
  </r>
  <r>
    <x v="418"/>
    <d v="2023-05-22T00:00:00"/>
    <x v="418"/>
    <x v="1"/>
    <x v="24"/>
    <x v="1"/>
    <n v="3"/>
    <n v="30"/>
    <x v="15"/>
  </r>
  <r>
    <x v="419"/>
    <d v="2023-01-23T00:00:00"/>
    <x v="419"/>
    <x v="1"/>
    <x v="11"/>
    <x v="1"/>
    <n v="4"/>
    <n v="500"/>
    <x v="11"/>
  </r>
  <r>
    <x v="420"/>
    <d v="2023-01-02T00:00:00"/>
    <x v="420"/>
    <x v="1"/>
    <x v="3"/>
    <x v="1"/>
    <n v="3"/>
    <n v="500"/>
    <x v="9"/>
  </r>
  <r>
    <x v="421"/>
    <d v="2023-06-20T00:00:00"/>
    <x v="421"/>
    <x v="1"/>
    <x v="20"/>
    <x v="1"/>
    <n v="3"/>
    <n v="30"/>
    <x v="15"/>
  </r>
  <r>
    <x v="422"/>
    <d v="2023-03-08T00:00:00"/>
    <x v="422"/>
    <x v="1"/>
    <x v="15"/>
    <x v="1"/>
    <n v="1"/>
    <n v="25"/>
    <x v="16"/>
  </r>
  <r>
    <x v="423"/>
    <d v="2023-11-23T00:00:00"/>
    <x v="423"/>
    <x v="0"/>
    <x v="35"/>
    <x v="0"/>
    <n v="4"/>
    <n v="300"/>
    <x v="14"/>
  </r>
  <r>
    <x v="424"/>
    <d v="2023-05-15T00:00:00"/>
    <x v="424"/>
    <x v="1"/>
    <x v="28"/>
    <x v="2"/>
    <n v="4"/>
    <n v="30"/>
    <x v="10"/>
  </r>
  <r>
    <x v="425"/>
    <d v="2023-03-24T00:00:00"/>
    <x v="425"/>
    <x v="0"/>
    <x v="9"/>
    <x v="2"/>
    <n v="3"/>
    <n v="50"/>
    <x v="0"/>
  </r>
  <r>
    <x v="426"/>
    <d v="2023-08-15T00:00:00"/>
    <x v="426"/>
    <x v="0"/>
    <x v="36"/>
    <x v="2"/>
    <n v="1"/>
    <n v="25"/>
    <x v="16"/>
  </r>
  <r>
    <x v="427"/>
    <d v="2023-10-10T00:00:00"/>
    <x v="427"/>
    <x v="1"/>
    <x v="30"/>
    <x v="2"/>
    <n v="4"/>
    <n v="50"/>
    <x v="7"/>
  </r>
  <r>
    <x v="428"/>
    <d v="2023-12-28T00:00:00"/>
    <x v="428"/>
    <x v="0"/>
    <x v="12"/>
    <x v="2"/>
    <n v="2"/>
    <n v="25"/>
    <x v="5"/>
  </r>
  <r>
    <x v="429"/>
    <d v="2023-08-07T00:00:00"/>
    <x v="429"/>
    <x v="1"/>
    <x v="22"/>
    <x v="2"/>
    <n v="3"/>
    <n v="300"/>
    <x v="12"/>
  </r>
  <r>
    <x v="430"/>
    <d v="2023-10-15T00:00:00"/>
    <x v="430"/>
    <x v="0"/>
    <x v="7"/>
    <x v="2"/>
    <n v="4"/>
    <n v="300"/>
    <x v="14"/>
  </r>
  <r>
    <x v="431"/>
    <d v="2023-01-05T00:00:00"/>
    <x v="431"/>
    <x v="1"/>
    <x v="43"/>
    <x v="2"/>
    <n v="2"/>
    <n v="500"/>
    <x v="1"/>
  </r>
  <r>
    <x v="432"/>
    <d v="2023-02-27T00:00:00"/>
    <x v="432"/>
    <x v="0"/>
    <x v="38"/>
    <x v="0"/>
    <n v="4"/>
    <n v="50"/>
    <x v="7"/>
  </r>
  <r>
    <x v="433"/>
    <d v="2023-02-08T00:00:00"/>
    <x v="433"/>
    <x v="1"/>
    <x v="22"/>
    <x v="2"/>
    <n v="2"/>
    <n v="25"/>
    <x v="5"/>
  </r>
  <r>
    <x v="434"/>
    <d v="2023-12-20T00:00:00"/>
    <x v="434"/>
    <x v="1"/>
    <x v="4"/>
    <x v="0"/>
    <n v="3"/>
    <n v="300"/>
    <x v="12"/>
  </r>
  <r>
    <x v="435"/>
    <d v="2023-03-18T00:00:00"/>
    <x v="435"/>
    <x v="1"/>
    <x v="35"/>
    <x v="1"/>
    <n v="4"/>
    <n v="30"/>
    <x v="10"/>
  </r>
  <r>
    <x v="436"/>
    <d v="2023-10-07T00:00:00"/>
    <x v="436"/>
    <x v="1"/>
    <x v="10"/>
    <x v="2"/>
    <n v="4"/>
    <n v="300"/>
    <x v="14"/>
  </r>
  <r>
    <x v="437"/>
    <d v="2023-01-19T00:00:00"/>
    <x v="437"/>
    <x v="1"/>
    <x v="13"/>
    <x v="1"/>
    <n v="1"/>
    <n v="30"/>
    <x v="2"/>
  </r>
  <r>
    <x v="438"/>
    <d v="2023-07-09T00:00:00"/>
    <x v="438"/>
    <x v="0"/>
    <x v="2"/>
    <x v="1"/>
    <n v="3"/>
    <n v="25"/>
    <x v="8"/>
  </r>
  <r>
    <x v="439"/>
    <d v="2023-10-26T00:00:00"/>
    <x v="439"/>
    <x v="0"/>
    <x v="12"/>
    <x v="1"/>
    <n v="2"/>
    <n v="300"/>
    <x v="6"/>
  </r>
  <r>
    <x v="440"/>
    <d v="2023-10-10T00:00:00"/>
    <x v="440"/>
    <x v="0"/>
    <x v="35"/>
    <x v="0"/>
    <n v="4"/>
    <n v="300"/>
    <x v="14"/>
  </r>
  <r>
    <x v="441"/>
    <d v="2023-03-17T00:00:00"/>
    <x v="441"/>
    <x v="1"/>
    <x v="43"/>
    <x v="1"/>
    <n v="4"/>
    <n v="25"/>
    <x v="4"/>
  </r>
  <r>
    <x v="442"/>
    <d v="2023-08-09T00:00:00"/>
    <x v="442"/>
    <x v="0"/>
    <x v="38"/>
    <x v="1"/>
    <n v="2"/>
    <n v="300"/>
    <x v="6"/>
  </r>
  <r>
    <x v="443"/>
    <d v="2023-03-07T00:00:00"/>
    <x v="443"/>
    <x v="1"/>
    <x v="39"/>
    <x v="1"/>
    <n v="3"/>
    <n v="30"/>
    <x v="15"/>
  </r>
  <r>
    <x v="444"/>
    <d v="2023-01-22T00:00:00"/>
    <x v="444"/>
    <x v="1"/>
    <x v="45"/>
    <x v="2"/>
    <n v="1"/>
    <n v="300"/>
    <x v="13"/>
  </r>
  <r>
    <x v="445"/>
    <d v="2023-06-07T00:00:00"/>
    <x v="445"/>
    <x v="0"/>
    <x v="34"/>
    <x v="2"/>
    <n v="1"/>
    <n v="50"/>
    <x v="5"/>
  </r>
  <r>
    <x v="446"/>
    <d v="2023-07-06T00:00:00"/>
    <x v="446"/>
    <x v="0"/>
    <x v="11"/>
    <x v="0"/>
    <n v="4"/>
    <n v="500"/>
    <x v="11"/>
  </r>
  <r>
    <x v="447"/>
    <d v="2023-01-21T00:00:00"/>
    <x v="447"/>
    <x v="1"/>
    <x v="31"/>
    <x v="0"/>
    <n v="2"/>
    <n v="30"/>
    <x v="17"/>
  </r>
  <r>
    <x v="448"/>
    <d v="2023-07-03T00:00:00"/>
    <x v="448"/>
    <x v="0"/>
    <x v="36"/>
    <x v="2"/>
    <n v="4"/>
    <n v="50"/>
    <x v="7"/>
  </r>
  <r>
    <x v="449"/>
    <d v="2023-04-18T00:00:00"/>
    <x v="449"/>
    <x v="1"/>
    <x v="42"/>
    <x v="0"/>
    <n v="2"/>
    <n v="25"/>
    <x v="5"/>
  </r>
  <r>
    <x v="450"/>
    <d v="2023-12-16T00:00:00"/>
    <x v="450"/>
    <x v="1"/>
    <x v="5"/>
    <x v="2"/>
    <n v="1"/>
    <n v="30"/>
    <x v="2"/>
  </r>
  <r>
    <x v="451"/>
    <d v="2023-05-08T00:00:00"/>
    <x v="451"/>
    <x v="1"/>
    <x v="27"/>
    <x v="1"/>
    <n v="3"/>
    <n v="500"/>
    <x v="9"/>
  </r>
  <r>
    <x v="452"/>
    <d v="2023-12-08T00:00:00"/>
    <x v="452"/>
    <x v="1"/>
    <x v="1"/>
    <x v="1"/>
    <n v="2"/>
    <n v="500"/>
    <x v="1"/>
  </r>
  <r>
    <x v="453"/>
    <d v="2023-02-22T00:00:00"/>
    <x v="453"/>
    <x v="1"/>
    <x v="6"/>
    <x v="0"/>
    <n v="1"/>
    <n v="25"/>
    <x v="16"/>
  </r>
  <r>
    <x v="454"/>
    <d v="2023-07-01T00:00:00"/>
    <x v="454"/>
    <x v="0"/>
    <x v="33"/>
    <x v="2"/>
    <n v="4"/>
    <n v="25"/>
    <x v="4"/>
  </r>
  <r>
    <x v="455"/>
    <d v="2023-10-14T00:00:00"/>
    <x v="455"/>
    <x v="0"/>
    <x v="35"/>
    <x v="2"/>
    <n v="2"/>
    <n v="30"/>
    <x v="17"/>
  </r>
  <r>
    <x v="456"/>
    <d v="2023-07-28T00:00:00"/>
    <x v="456"/>
    <x v="1"/>
    <x v="26"/>
    <x v="0"/>
    <n v="3"/>
    <n v="300"/>
    <x v="12"/>
  </r>
  <r>
    <x v="457"/>
    <d v="2023-11-14T00:00:00"/>
    <x v="457"/>
    <x v="1"/>
    <x v="23"/>
    <x v="2"/>
    <n v="4"/>
    <n v="25"/>
    <x v="4"/>
  </r>
  <r>
    <x v="458"/>
    <d v="2023-03-21T00:00:00"/>
    <x v="458"/>
    <x v="0"/>
    <x v="20"/>
    <x v="1"/>
    <n v="4"/>
    <n v="300"/>
    <x v="14"/>
  </r>
  <r>
    <x v="459"/>
    <d v="2023-05-02T00:00:00"/>
    <x v="459"/>
    <x v="0"/>
    <x v="30"/>
    <x v="0"/>
    <n v="1"/>
    <n v="50"/>
    <x v="5"/>
  </r>
  <r>
    <x v="460"/>
    <d v="2023-03-25T00:00:00"/>
    <x v="460"/>
    <x v="1"/>
    <x v="18"/>
    <x v="0"/>
    <n v="2"/>
    <n v="500"/>
    <x v="1"/>
  </r>
  <r>
    <x v="461"/>
    <d v="2023-04-01T00:00:00"/>
    <x v="461"/>
    <x v="0"/>
    <x v="7"/>
    <x v="2"/>
    <n v="4"/>
    <n v="300"/>
    <x v="14"/>
  </r>
  <r>
    <x v="462"/>
    <d v="2023-07-31T00:00:00"/>
    <x v="462"/>
    <x v="1"/>
    <x v="31"/>
    <x v="0"/>
    <n v="3"/>
    <n v="500"/>
    <x v="9"/>
  </r>
  <r>
    <x v="463"/>
    <d v="2023-01-13T00:00:00"/>
    <x v="463"/>
    <x v="0"/>
    <x v="21"/>
    <x v="2"/>
    <n v="2"/>
    <n v="300"/>
    <x v="6"/>
  </r>
  <r>
    <x v="464"/>
    <d v="2023-04-02T00:00:00"/>
    <x v="464"/>
    <x v="1"/>
    <x v="22"/>
    <x v="2"/>
    <n v="3"/>
    <n v="50"/>
    <x v="0"/>
  </r>
  <r>
    <x v="465"/>
    <d v="2023-06-20T00:00:00"/>
    <x v="465"/>
    <x v="0"/>
    <x v="7"/>
    <x v="2"/>
    <n v="4"/>
    <n v="25"/>
    <x v="4"/>
  </r>
  <r>
    <x v="466"/>
    <d v="2023-07-30T00:00:00"/>
    <x v="466"/>
    <x v="1"/>
    <x v="45"/>
    <x v="2"/>
    <n v="3"/>
    <n v="50"/>
    <x v="0"/>
  </r>
  <r>
    <x v="467"/>
    <d v="2023-12-09T00:00:00"/>
    <x v="467"/>
    <x v="0"/>
    <x v="30"/>
    <x v="2"/>
    <n v="1"/>
    <n v="25"/>
    <x v="16"/>
  </r>
  <r>
    <x v="468"/>
    <d v="2023-05-08T00:00:00"/>
    <x v="468"/>
    <x v="0"/>
    <x v="18"/>
    <x v="0"/>
    <n v="3"/>
    <n v="25"/>
    <x v="8"/>
  </r>
  <r>
    <x v="469"/>
    <d v="2023-05-17T00:00:00"/>
    <x v="469"/>
    <x v="1"/>
    <x v="35"/>
    <x v="1"/>
    <n v="2"/>
    <n v="500"/>
    <x v="1"/>
  </r>
  <r>
    <x v="470"/>
    <d v="2023-03-23T00:00:00"/>
    <x v="470"/>
    <x v="0"/>
    <x v="40"/>
    <x v="1"/>
    <n v="3"/>
    <n v="50"/>
    <x v="0"/>
  </r>
  <r>
    <x v="471"/>
    <d v="2023-12-26T00:00:00"/>
    <x v="471"/>
    <x v="1"/>
    <x v="21"/>
    <x v="0"/>
    <n v="3"/>
    <n v="300"/>
    <x v="12"/>
  </r>
  <r>
    <x v="472"/>
    <d v="2023-02-25T00:00:00"/>
    <x v="472"/>
    <x v="0"/>
    <x v="12"/>
    <x v="0"/>
    <n v="1"/>
    <n v="50"/>
    <x v="5"/>
  </r>
  <r>
    <x v="473"/>
    <d v="2023-07-15T00:00:00"/>
    <x v="473"/>
    <x v="1"/>
    <x v="1"/>
    <x v="1"/>
    <n v="3"/>
    <n v="500"/>
    <x v="9"/>
  </r>
  <r>
    <x v="474"/>
    <d v="2023-01-20T00:00:00"/>
    <x v="474"/>
    <x v="0"/>
    <x v="1"/>
    <x v="1"/>
    <n v="3"/>
    <n v="25"/>
    <x v="8"/>
  </r>
  <r>
    <x v="475"/>
    <d v="2023-08-29T00:00:00"/>
    <x v="475"/>
    <x v="1"/>
    <x v="15"/>
    <x v="1"/>
    <n v="4"/>
    <n v="500"/>
    <x v="11"/>
  </r>
  <r>
    <x v="476"/>
    <d v="2023-04-24T00:00:00"/>
    <x v="476"/>
    <x v="0"/>
    <x v="22"/>
    <x v="1"/>
    <n v="4"/>
    <n v="30"/>
    <x v="10"/>
  </r>
  <r>
    <x v="477"/>
    <d v="2023-04-13T00:00:00"/>
    <x v="477"/>
    <x v="1"/>
    <x v="26"/>
    <x v="1"/>
    <n v="2"/>
    <n v="30"/>
    <x v="17"/>
  </r>
  <r>
    <x v="478"/>
    <d v="2023-08-24T00:00:00"/>
    <x v="478"/>
    <x v="0"/>
    <x v="8"/>
    <x v="2"/>
    <n v="4"/>
    <n v="300"/>
    <x v="14"/>
  </r>
  <r>
    <x v="479"/>
    <d v="2023-06-29T00:00:00"/>
    <x v="479"/>
    <x v="1"/>
    <x v="13"/>
    <x v="0"/>
    <n v="4"/>
    <n v="500"/>
    <x v="11"/>
  </r>
  <r>
    <x v="480"/>
    <d v="2023-06-06T00:00:00"/>
    <x v="480"/>
    <x v="1"/>
    <x v="22"/>
    <x v="2"/>
    <n v="4"/>
    <n v="300"/>
    <x v="14"/>
  </r>
  <r>
    <x v="481"/>
    <d v="2023-04-27T00:00:00"/>
    <x v="481"/>
    <x v="1"/>
    <x v="20"/>
    <x v="1"/>
    <n v="4"/>
    <n v="300"/>
    <x v="14"/>
  </r>
  <r>
    <x v="482"/>
    <d v="2023-04-25T00:00:00"/>
    <x v="482"/>
    <x v="0"/>
    <x v="28"/>
    <x v="1"/>
    <n v="1"/>
    <n v="30"/>
    <x v="2"/>
  </r>
  <r>
    <x v="483"/>
    <d v="2023-01-13T00:00:00"/>
    <x v="483"/>
    <x v="1"/>
    <x v="14"/>
    <x v="1"/>
    <n v="4"/>
    <n v="300"/>
    <x v="14"/>
  </r>
  <r>
    <x v="484"/>
    <d v="2023-12-04T00:00:00"/>
    <x v="484"/>
    <x v="0"/>
    <x v="46"/>
    <x v="2"/>
    <n v="1"/>
    <n v="30"/>
    <x v="2"/>
  </r>
  <r>
    <x v="485"/>
    <d v="2023-04-09T00:00:00"/>
    <x v="485"/>
    <x v="1"/>
    <x v="10"/>
    <x v="2"/>
    <n v="1"/>
    <n v="25"/>
    <x v="16"/>
  </r>
  <r>
    <x v="486"/>
    <d v="2023-07-24T00:00:00"/>
    <x v="486"/>
    <x v="0"/>
    <x v="24"/>
    <x v="1"/>
    <n v="4"/>
    <n v="500"/>
    <x v="11"/>
  </r>
  <r>
    <x v="487"/>
    <d v="2023-06-18T00:00:00"/>
    <x v="487"/>
    <x v="1"/>
    <x v="25"/>
    <x v="2"/>
    <n v="3"/>
    <n v="300"/>
    <x v="12"/>
  </r>
  <r>
    <x v="488"/>
    <d v="2023-05-23T00:00:00"/>
    <x v="488"/>
    <x v="0"/>
    <x v="24"/>
    <x v="2"/>
    <n v="1"/>
    <n v="30"/>
    <x v="2"/>
  </r>
  <r>
    <x v="489"/>
    <d v="2023-02-05T00:00:00"/>
    <x v="489"/>
    <x v="0"/>
    <x v="0"/>
    <x v="1"/>
    <n v="3"/>
    <n v="50"/>
    <x v="0"/>
  </r>
  <r>
    <x v="490"/>
    <d v="2023-05-23T00:00:00"/>
    <x v="490"/>
    <x v="1"/>
    <x v="43"/>
    <x v="2"/>
    <n v="3"/>
    <n v="300"/>
    <x v="12"/>
  </r>
  <r>
    <x v="491"/>
    <d v="2023-06-29T00:00:00"/>
    <x v="491"/>
    <x v="0"/>
    <x v="39"/>
    <x v="0"/>
    <n v="4"/>
    <n v="25"/>
    <x v="4"/>
  </r>
  <r>
    <x v="492"/>
    <d v="2023-11-25T00:00:00"/>
    <x v="492"/>
    <x v="0"/>
    <x v="41"/>
    <x v="0"/>
    <n v="2"/>
    <n v="25"/>
    <x v="5"/>
  </r>
  <r>
    <x v="493"/>
    <d v="2023-09-18T00:00:00"/>
    <x v="493"/>
    <x v="1"/>
    <x v="13"/>
    <x v="0"/>
    <n v="4"/>
    <n v="50"/>
    <x v="7"/>
  </r>
  <r>
    <x v="494"/>
    <d v="2023-07-24T00:00:00"/>
    <x v="494"/>
    <x v="0"/>
    <x v="46"/>
    <x v="0"/>
    <n v="2"/>
    <n v="30"/>
    <x v="17"/>
  </r>
  <r>
    <x v="495"/>
    <d v="2023-12-14T00:00:00"/>
    <x v="495"/>
    <x v="0"/>
    <x v="9"/>
    <x v="1"/>
    <n v="2"/>
    <n v="300"/>
    <x v="6"/>
  </r>
  <r>
    <x v="496"/>
    <d v="2023-10-02T00:00:00"/>
    <x v="496"/>
    <x v="0"/>
    <x v="41"/>
    <x v="1"/>
    <n v="4"/>
    <n v="30"/>
    <x v="10"/>
  </r>
  <r>
    <x v="497"/>
    <d v="2023-06-19T00:00:00"/>
    <x v="497"/>
    <x v="1"/>
    <x v="2"/>
    <x v="1"/>
    <n v="4"/>
    <n v="25"/>
    <x v="4"/>
  </r>
  <r>
    <x v="498"/>
    <d v="2023-01-15T00:00:00"/>
    <x v="498"/>
    <x v="0"/>
    <x v="6"/>
    <x v="0"/>
    <n v="2"/>
    <n v="30"/>
    <x v="17"/>
  </r>
  <r>
    <x v="499"/>
    <d v="2023-03-01T00:00:00"/>
    <x v="499"/>
    <x v="1"/>
    <x v="43"/>
    <x v="0"/>
    <n v="4"/>
    <n v="25"/>
    <x v="4"/>
  </r>
  <r>
    <x v="500"/>
    <d v="2023-05-14T00:00:00"/>
    <x v="500"/>
    <x v="0"/>
    <x v="23"/>
    <x v="2"/>
    <n v="2"/>
    <n v="30"/>
    <x v="17"/>
  </r>
  <r>
    <x v="501"/>
    <d v="2023-04-02T00:00:00"/>
    <x v="501"/>
    <x v="0"/>
    <x v="22"/>
    <x v="2"/>
    <n v="3"/>
    <n v="50"/>
    <x v="0"/>
  </r>
  <r>
    <x v="502"/>
    <d v="2023-10-25T00:00:00"/>
    <x v="502"/>
    <x v="0"/>
    <x v="5"/>
    <x v="0"/>
    <n v="4"/>
    <n v="500"/>
    <x v="11"/>
  </r>
  <r>
    <x v="503"/>
    <d v="2023-05-16T00:00:00"/>
    <x v="503"/>
    <x v="1"/>
    <x v="21"/>
    <x v="0"/>
    <n v="3"/>
    <n v="50"/>
    <x v="0"/>
  </r>
  <r>
    <x v="504"/>
    <d v="2023-01-20T00:00:00"/>
    <x v="504"/>
    <x v="0"/>
    <x v="46"/>
    <x v="0"/>
    <n v="1"/>
    <n v="50"/>
    <x v="5"/>
  </r>
  <r>
    <x v="505"/>
    <d v="2023-02-25T00:00:00"/>
    <x v="505"/>
    <x v="0"/>
    <x v="0"/>
    <x v="0"/>
    <n v="3"/>
    <n v="500"/>
    <x v="9"/>
  </r>
  <r>
    <x v="506"/>
    <d v="2023-11-02T00:00:00"/>
    <x v="506"/>
    <x v="1"/>
    <x v="3"/>
    <x v="2"/>
    <n v="3"/>
    <n v="500"/>
    <x v="9"/>
  </r>
  <r>
    <x v="507"/>
    <d v="2023-08-11T00:00:00"/>
    <x v="507"/>
    <x v="0"/>
    <x v="26"/>
    <x v="0"/>
    <n v="2"/>
    <n v="300"/>
    <x v="6"/>
  </r>
  <r>
    <x v="508"/>
    <d v="2023-06-26T00:00:00"/>
    <x v="508"/>
    <x v="1"/>
    <x v="3"/>
    <x v="2"/>
    <n v="3"/>
    <n v="300"/>
    <x v="12"/>
  </r>
  <r>
    <x v="509"/>
    <d v="2023-06-10T00:00:00"/>
    <x v="509"/>
    <x v="1"/>
    <x v="23"/>
    <x v="0"/>
    <n v="4"/>
    <n v="50"/>
    <x v="7"/>
  </r>
  <r>
    <x v="510"/>
    <d v="2023-08-12T00:00:00"/>
    <x v="510"/>
    <x v="0"/>
    <x v="5"/>
    <x v="0"/>
    <n v="2"/>
    <n v="50"/>
    <x v="4"/>
  </r>
  <r>
    <x v="511"/>
    <d v="2023-11-07T00:00:00"/>
    <x v="511"/>
    <x v="1"/>
    <x v="35"/>
    <x v="0"/>
    <n v="1"/>
    <n v="25"/>
    <x v="16"/>
  </r>
  <r>
    <x v="512"/>
    <d v="2023-09-19T00:00:00"/>
    <x v="512"/>
    <x v="0"/>
    <x v="46"/>
    <x v="2"/>
    <n v="4"/>
    <n v="25"/>
    <x v="4"/>
  </r>
  <r>
    <x v="513"/>
    <d v="2023-03-01T00:00:00"/>
    <x v="513"/>
    <x v="1"/>
    <x v="18"/>
    <x v="2"/>
    <n v="1"/>
    <n v="300"/>
    <x v="13"/>
  </r>
  <r>
    <x v="514"/>
    <d v="2023-07-17T00:00:00"/>
    <x v="514"/>
    <x v="1"/>
    <x v="19"/>
    <x v="1"/>
    <n v="3"/>
    <n v="300"/>
    <x v="12"/>
  </r>
  <r>
    <x v="515"/>
    <d v="2023-10-23T00:00:00"/>
    <x v="515"/>
    <x v="0"/>
    <x v="4"/>
    <x v="0"/>
    <n v="4"/>
    <n v="25"/>
    <x v="4"/>
  </r>
  <r>
    <x v="516"/>
    <d v="2023-04-08T00:00:00"/>
    <x v="516"/>
    <x v="1"/>
    <x v="16"/>
    <x v="1"/>
    <n v="4"/>
    <n v="25"/>
    <x v="4"/>
  </r>
  <r>
    <x v="517"/>
    <d v="2023-05-11T00:00:00"/>
    <x v="517"/>
    <x v="1"/>
    <x v="30"/>
    <x v="1"/>
    <n v="1"/>
    <n v="30"/>
    <x v="2"/>
  </r>
  <r>
    <x v="518"/>
    <d v="2023-01-23T00:00:00"/>
    <x v="518"/>
    <x v="1"/>
    <x v="32"/>
    <x v="2"/>
    <n v="4"/>
    <n v="30"/>
    <x v="10"/>
  </r>
  <r>
    <x v="519"/>
    <d v="2023-12-29T00:00:00"/>
    <x v="519"/>
    <x v="1"/>
    <x v="19"/>
    <x v="2"/>
    <n v="4"/>
    <n v="25"/>
    <x v="4"/>
  </r>
  <r>
    <x v="520"/>
    <d v="2023-08-12T00:00:00"/>
    <x v="520"/>
    <x v="1"/>
    <x v="16"/>
    <x v="1"/>
    <n v="4"/>
    <n v="30"/>
    <x v="10"/>
  </r>
  <r>
    <x v="521"/>
    <d v="2023-01-01T00:00:00"/>
    <x v="521"/>
    <x v="0"/>
    <x v="6"/>
    <x v="0"/>
    <n v="3"/>
    <n v="500"/>
    <x v="9"/>
  </r>
  <r>
    <x v="522"/>
    <d v="2023-09-24T00:00:00"/>
    <x v="522"/>
    <x v="1"/>
    <x v="17"/>
    <x v="2"/>
    <n v="1"/>
    <n v="300"/>
    <x v="13"/>
  </r>
  <r>
    <x v="523"/>
    <d v="2023-10-03T00:00:00"/>
    <x v="523"/>
    <x v="0"/>
    <x v="6"/>
    <x v="0"/>
    <n v="4"/>
    <n v="300"/>
    <x v="14"/>
  </r>
  <r>
    <x v="524"/>
    <d v="2023-12-18T00:00:00"/>
    <x v="524"/>
    <x v="1"/>
    <x v="16"/>
    <x v="0"/>
    <n v="2"/>
    <n v="25"/>
    <x v="5"/>
  </r>
  <r>
    <x v="525"/>
    <d v="2023-12-10T00:00:00"/>
    <x v="525"/>
    <x v="0"/>
    <x v="44"/>
    <x v="1"/>
    <n v="2"/>
    <n v="50"/>
    <x v="4"/>
  </r>
  <r>
    <x v="526"/>
    <d v="2023-04-11T00:00:00"/>
    <x v="526"/>
    <x v="0"/>
    <x v="35"/>
    <x v="1"/>
    <n v="2"/>
    <n v="25"/>
    <x v="5"/>
  </r>
  <r>
    <x v="527"/>
    <d v="2023-07-06T00:00:00"/>
    <x v="527"/>
    <x v="1"/>
    <x v="32"/>
    <x v="1"/>
    <n v="2"/>
    <n v="30"/>
    <x v="17"/>
  </r>
  <r>
    <x v="528"/>
    <d v="2023-08-09T00:00:00"/>
    <x v="528"/>
    <x v="1"/>
    <x v="10"/>
    <x v="1"/>
    <n v="3"/>
    <n v="50"/>
    <x v="0"/>
  </r>
  <r>
    <x v="529"/>
    <d v="2023-02-05T00:00:00"/>
    <x v="529"/>
    <x v="1"/>
    <x v="18"/>
    <x v="2"/>
    <n v="4"/>
    <n v="30"/>
    <x v="10"/>
  </r>
  <r>
    <x v="530"/>
    <d v="2023-12-07T00:00:00"/>
    <x v="530"/>
    <x v="0"/>
    <x v="33"/>
    <x v="2"/>
    <n v="1"/>
    <n v="500"/>
    <x v="3"/>
  </r>
  <r>
    <x v="531"/>
    <d v="2023-06-19T00:00:00"/>
    <x v="531"/>
    <x v="1"/>
    <x v="12"/>
    <x v="1"/>
    <n v="4"/>
    <n v="30"/>
    <x v="10"/>
  </r>
  <r>
    <x v="532"/>
    <d v="2023-11-16T00:00:00"/>
    <x v="532"/>
    <x v="0"/>
    <x v="14"/>
    <x v="2"/>
    <n v="3"/>
    <n v="500"/>
    <x v="9"/>
  </r>
  <r>
    <x v="533"/>
    <d v="2023-06-10T00:00:00"/>
    <x v="533"/>
    <x v="0"/>
    <x v="5"/>
    <x v="1"/>
    <n v="2"/>
    <n v="500"/>
    <x v="1"/>
  </r>
  <r>
    <x v="534"/>
    <d v="2023-12-06T00:00:00"/>
    <x v="534"/>
    <x v="0"/>
    <x v="16"/>
    <x v="0"/>
    <n v="3"/>
    <n v="30"/>
    <x v="15"/>
  </r>
  <r>
    <x v="535"/>
    <d v="2023-03-05T00:00:00"/>
    <x v="535"/>
    <x v="1"/>
    <x v="28"/>
    <x v="0"/>
    <n v="4"/>
    <n v="30"/>
    <x v="10"/>
  </r>
  <r>
    <x v="536"/>
    <d v="2023-06-03T00:00:00"/>
    <x v="536"/>
    <x v="1"/>
    <x v="34"/>
    <x v="0"/>
    <n v="1"/>
    <n v="500"/>
    <x v="3"/>
  </r>
  <r>
    <x v="537"/>
    <d v="2023-09-17T00:00:00"/>
    <x v="537"/>
    <x v="0"/>
    <x v="18"/>
    <x v="1"/>
    <n v="3"/>
    <n v="50"/>
    <x v="0"/>
  </r>
  <r>
    <x v="538"/>
    <d v="2023-06-08T00:00:00"/>
    <x v="538"/>
    <x v="0"/>
    <x v="36"/>
    <x v="0"/>
    <n v="1"/>
    <n v="500"/>
    <x v="3"/>
  </r>
  <r>
    <x v="539"/>
    <d v="2023-12-08T00:00:00"/>
    <x v="539"/>
    <x v="1"/>
    <x v="6"/>
    <x v="2"/>
    <n v="3"/>
    <n v="300"/>
    <x v="12"/>
  </r>
  <r>
    <x v="540"/>
    <d v="2023-07-29T00:00:00"/>
    <x v="540"/>
    <x v="0"/>
    <x v="37"/>
    <x v="0"/>
    <n v="1"/>
    <n v="500"/>
    <x v="3"/>
  </r>
  <r>
    <x v="541"/>
    <d v="2023-06-17T00:00:00"/>
    <x v="541"/>
    <x v="1"/>
    <x v="29"/>
    <x v="0"/>
    <n v="1"/>
    <n v="50"/>
    <x v="5"/>
  </r>
  <r>
    <x v="542"/>
    <d v="2023-07-26T00:00:00"/>
    <x v="542"/>
    <x v="0"/>
    <x v="19"/>
    <x v="0"/>
    <n v="2"/>
    <n v="300"/>
    <x v="6"/>
  </r>
  <r>
    <x v="543"/>
    <d v="2023-12-23T00:00:00"/>
    <x v="543"/>
    <x v="1"/>
    <x v="15"/>
    <x v="2"/>
    <n v="1"/>
    <n v="25"/>
    <x v="16"/>
  </r>
  <r>
    <x v="544"/>
    <d v="2023-06-01T00:00:00"/>
    <x v="544"/>
    <x v="0"/>
    <x v="15"/>
    <x v="1"/>
    <n v="2"/>
    <n v="25"/>
    <x v="5"/>
  </r>
  <r>
    <x v="545"/>
    <d v="2023-10-11T00:00:00"/>
    <x v="545"/>
    <x v="1"/>
    <x v="32"/>
    <x v="2"/>
    <n v="4"/>
    <n v="50"/>
    <x v="7"/>
  </r>
  <r>
    <x v="546"/>
    <d v="2023-03-07T00:00:00"/>
    <x v="546"/>
    <x v="0"/>
    <x v="7"/>
    <x v="1"/>
    <n v="4"/>
    <n v="500"/>
    <x v="11"/>
  </r>
  <r>
    <x v="547"/>
    <d v="2023-04-09T00:00:00"/>
    <x v="547"/>
    <x v="1"/>
    <x v="25"/>
    <x v="1"/>
    <n v="2"/>
    <n v="30"/>
    <x v="17"/>
  </r>
  <r>
    <x v="548"/>
    <d v="2023-08-04T00:00:00"/>
    <x v="548"/>
    <x v="1"/>
    <x v="2"/>
    <x v="0"/>
    <n v="2"/>
    <n v="50"/>
    <x v="4"/>
  </r>
  <r>
    <x v="549"/>
    <d v="2023-12-07T00:00:00"/>
    <x v="549"/>
    <x v="0"/>
    <x v="30"/>
    <x v="1"/>
    <n v="3"/>
    <n v="300"/>
    <x v="12"/>
  </r>
  <r>
    <x v="550"/>
    <d v="2023-07-14T00:00:00"/>
    <x v="550"/>
    <x v="0"/>
    <x v="5"/>
    <x v="2"/>
    <n v="3"/>
    <n v="300"/>
    <x v="12"/>
  </r>
  <r>
    <x v="551"/>
    <d v="2023-12-13T00:00:00"/>
    <x v="551"/>
    <x v="1"/>
    <x v="19"/>
    <x v="2"/>
    <n v="3"/>
    <n v="25"/>
    <x v="8"/>
  </r>
  <r>
    <x v="552"/>
    <d v="2023-03-31T00:00:00"/>
    <x v="552"/>
    <x v="0"/>
    <x v="46"/>
    <x v="1"/>
    <n v="4"/>
    <n v="300"/>
    <x v="14"/>
  </r>
  <r>
    <x v="553"/>
    <d v="2023-11-12T00:00:00"/>
    <x v="553"/>
    <x v="1"/>
    <x v="6"/>
    <x v="0"/>
    <n v="3"/>
    <n v="50"/>
    <x v="0"/>
  </r>
  <r>
    <x v="554"/>
    <d v="2023-10-19T00:00:00"/>
    <x v="554"/>
    <x v="0"/>
    <x v="36"/>
    <x v="0"/>
    <n v="1"/>
    <n v="300"/>
    <x v="13"/>
  </r>
  <r>
    <x v="555"/>
    <d v="2023-06-04T00:00:00"/>
    <x v="555"/>
    <x v="1"/>
    <x v="18"/>
    <x v="2"/>
    <n v="1"/>
    <n v="50"/>
    <x v="5"/>
  </r>
  <r>
    <x v="556"/>
    <d v="2023-07-27T00:00:00"/>
    <x v="556"/>
    <x v="1"/>
    <x v="29"/>
    <x v="0"/>
    <n v="3"/>
    <n v="30"/>
    <x v="15"/>
  </r>
  <r>
    <x v="557"/>
    <d v="2023-10-08T00:00:00"/>
    <x v="557"/>
    <x v="1"/>
    <x v="41"/>
    <x v="1"/>
    <n v="1"/>
    <n v="25"/>
    <x v="16"/>
  </r>
  <r>
    <x v="558"/>
    <d v="2023-01-01T00:00:00"/>
    <x v="558"/>
    <x v="1"/>
    <x v="30"/>
    <x v="1"/>
    <n v="4"/>
    <n v="300"/>
    <x v="14"/>
  </r>
  <r>
    <x v="559"/>
    <d v="2023-06-05T00:00:00"/>
    <x v="559"/>
    <x v="1"/>
    <x v="36"/>
    <x v="2"/>
    <n v="1"/>
    <n v="50"/>
    <x v="5"/>
  </r>
  <r>
    <x v="560"/>
    <d v="2023-05-27T00:00:00"/>
    <x v="560"/>
    <x v="1"/>
    <x v="12"/>
    <x v="1"/>
    <n v="4"/>
    <n v="500"/>
    <x v="11"/>
  </r>
  <r>
    <x v="561"/>
    <d v="2023-04-18T00:00:00"/>
    <x v="561"/>
    <x v="0"/>
    <x v="31"/>
    <x v="2"/>
    <n v="2"/>
    <n v="25"/>
    <x v="5"/>
  </r>
  <r>
    <x v="562"/>
    <d v="2023-08-09T00:00:00"/>
    <x v="562"/>
    <x v="0"/>
    <x v="29"/>
    <x v="1"/>
    <n v="2"/>
    <n v="30"/>
    <x v="17"/>
  </r>
  <r>
    <x v="563"/>
    <d v="2023-10-24T00:00:00"/>
    <x v="563"/>
    <x v="0"/>
    <x v="2"/>
    <x v="2"/>
    <n v="2"/>
    <n v="50"/>
    <x v="4"/>
  </r>
  <r>
    <x v="564"/>
    <d v="2023-11-07T00:00:00"/>
    <x v="564"/>
    <x v="1"/>
    <x v="5"/>
    <x v="0"/>
    <n v="2"/>
    <n v="30"/>
    <x v="17"/>
  </r>
  <r>
    <x v="565"/>
    <d v="2023-12-02T00:00:00"/>
    <x v="565"/>
    <x v="1"/>
    <x v="12"/>
    <x v="1"/>
    <n v="1"/>
    <n v="30"/>
    <x v="2"/>
  </r>
  <r>
    <x v="566"/>
    <d v="2023-06-14T00:00:00"/>
    <x v="566"/>
    <x v="1"/>
    <x v="36"/>
    <x v="1"/>
    <n v="3"/>
    <n v="300"/>
    <x v="12"/>
  </r>
  <r>
    <x v="567"/>
    <d v="2023-08-27T00:00:00"/>
    <x v="567"/>
    <x v="1"/>
    <x v="25"/>
    <x v="2"/>
    <n v="1"/>
    <n v="300"/>
    <x v="13"/>
  </r>
  <r>
    <x v="568"/>
    <d v="2023-08-15T00:00:00"/>
    <x v="568"/>
    <x v="0"/>
    <x v="8"/>
    <x v="2"/>
    <n v="4"/>
    <n v="50"/>
    <x v="7"/>
  </r>
  <r>
    <x v="569"/>
    <d v="2023-08-15T00:00:00"/>
    <x v="569"/>
    <x v="0"/>
    <x v="19"/>
    <x v="1"/>
    <n v="1"/>
    <n v="500"/>
    <x v="3"/>
  </r>
  <r>
    <x v="570"/>
    <d v="2023-12-12T00:00:00"/>
    <x v="570"/>
    <x v="1"/>
    <x v="41"/>
    <x v="2"/>
    <n v="1"/>
    <n v="50"/>
    <x v="5"/>
  </r>
  <r>
    <x v="571"/>
    <d v="2023-04-20T00:00:00"/>
    <x v="571"/>
    <x v="0"/>
    <x v="33"/>
    <x v="1"/>
    <n v="4"/>
    <n v="500"/>
    <x v="11"/>
  </r>
  <r>
    <x v="572"/>
    <d v="2023-09-19T00:00:00"/>
    <x v="572"/>
    <x v="0"/>
    <x v="19"/>
    <x v="0"/>
    <n v="2"/>
    <n v="30"/>
    <x v="17"/>
  </r>
  <r>
    <x v="573"/>
    <d v="2023-08-31T00:00:00"/>
    <x v="573"/>
    <x v="1"/>
    <x v="7"/>
    <x v="2"/>
    <n v="2"/>
    <n v="25"/>
    <x v="5"/>
  </r>
  <r>
    <x v="574"/>
    <d v="2023-03-28T00:00:00"/>
    <x v="574"/>
    <x v="0"/>
    <x v="43"/>
    <x v="1"/>
    <n v="2"/>
    <n v="50"/>
    <x v="4"/>
  </r>
  <r>
    <x v="575"/>
    <d v="2023-12-04T00:00:00"/>
    <x v="575"/>
    <x v="1"/>
    <x v="44"/>
    <x v="0"/>
    <n v="3"/>
    <n v="50"/>
    <x v="0"/>
  </r>
  <r>
    <x v="576"/>
    <d v="2023-02-13T00:00:00"/>
    <x v="576"/>
    <x v="0"/>
    <x v="34"/>
    <x v="0"/>
    <n v="4"/>
    <n v="500"/>
    <x v="11"/>
  </r>
  <r>
    <x v="577"/>
    <d v="2023-05-26T00:00:00"/>
    <x v="577"/>
    <x v="1"/>
    <x v="31"/>
    <x v="1"/>
    <n v="4"/>
    <n v="30"/>
    <x v="10"/>
  </r>
  <r>
    <x v="578"/>
    <d v="2023-09-21T00:00:00"/>
    <x v="578"/>
    <x v="1"/>
    <x v="21"/>
    <x v="2"/>
    <n v="1"/>
    <n v="30"/>
    <x v="2"/>
  </r>
  <r>
    <x v="579"/>
    <d v="2023-12-06T00:00:00"/>
    <x v="579"/>
    <x v="1"/>
    <x v="33"/>
    <x v="1"/>
    <n v="3"/>
    <n v="500"/>
    <x v="9"/>
  </r>
  <r>
    <x v="580"/>
    <d v="2023-11-21T00:00:00"/>
    <x v="580"/>
    <x v="1"/>
    <x v="27"/>
    <x v="0"/>
    <n v="2"/>
    <n v="30"/>
    <x v="17"/>
  </r>
  <r>
    <x v="581"/>
    <d v="2023-11-14T00:00:00"/>
    <x v="581"/>
    <x v="0"/>
    <x v="10"/>
    <x v="1"/>
    <n v="3"/>
    <n v="300"/>
    <x v="12"/>
  </r>
  <r>
    <x v="582"/>
    <d v="2023-06-21T00:00:00"/>
    <x v="582"/>
    <x v="1"/>
    <x v="46"/>
    <x v="2"/>
    <n v="4"/>
    <n v="25"/>
    <x v="4"/>
  </r>
  <r>
    <x v="583"/>
    <d v="2023-02-17T00:00:00"/>
    <x v="583"/>
    <x v="1"/>
    <x v="15"/>
    <x v="0"/>
    <n v="4"/>
    <n v="50"/>
    <x v="7"/>
  </r>
  <r>
    <x v="584"/>
    <d v="2023-05-01T00:00:00"/>
    <x v="584"/>
    <x v="1"/>
    <x v="46"/>
    <x v="1"/>
    <n v="1"/>
    <n v="25"/>
    <x v="16"/>
  </r>
  <r>
    <x v="585"/>
    <d v="2023-12-11T00:00:00"/>
    <x v="585"/>
    <x v="0"/>
    <x v="2"/>
    <x v="2"/>
    <n v="1"/>
    <n v="50"/>
    <x v="5"/>
  </r>
  <r>
    <x v="586"/>
    <d v="2023-06-08T00:00:00"/>
    <x v="586"/>
    <x v="1"/>
    <x v="30"/>
    <x v="0"/>
    <n v="4"/>
    <n v="300"/>
    <x v="14"/>
  </r>
  <r>
    <x v="587"/>
    <d v="2023-04-26T00:00:00"/>
    <x v="587"/>
    <x v="0"/>
    <x v="21"/>
    <x v="2"/>
    <n v="2"/>
    <n v="30"/>
    <x v="17"/>
  </r>
  <r>
    <x v="588"/>
    <d v="2023-04-12T00:00:00"/>
    <x v="588"/>
    <x v="1"/>
    <x v="32"/>
    <x v="0"/>
    <n v="2"/>
    <n v="500"/>
    <x v="1"/>
  </r>
  <r>
    <x v="589"/>
    <d v="2023-03-17T00:00:00"/>
    <x v="589"/>
    <x v="0"/>
    <x v="32"/>
    <x v="1"/>
    <n v="3"/>
    <n v="300"/>
    <x v="12"/>
  </r>
  <r>
    <x v="590"/>
    <d v="2023-01-13T00:00:00"/>
    <x v="590"/>
    <x v="0"/>
    <x v="45"/>
    <x v="2"/>
    <n v="4"/>
    <n v="25"/>
    <x v="4"/>
  </r>
  <r>
    <x v="591"/>
    <d v="2023-01-24T00:00:00"/>
    <x v="591"/>
    <x v="1"/>
    <x v="6"/>
    <x v="0"/>
    <n v="4"/>
    <n v="500"/>
    <x v="11"/>
  </r>
  <r>
    <x v="592"/>
    <d v="2023-05-06T00:00:00"/>
    <x v="592"/>
    <x v="0"/>
    <x v="10"/>
    <x v="2"/>
    <n v="2"/>
    <n v="30"/>
    <x v="17"/>
  </r>
  <r>
    <x v="593"/>
    <d v="2023-09-01T00:00:00"/>
    <x v="593"/>
    <x v="1"/>
    <x v="14"/>
    <x v="2"/>
    <n v="2"/>
    <n v="300"/>
    <x v="6"/>
  </r>
  <r>
    <x v="594"/>
    <d v="2023-11-09T00:00:00"/>
    <x v="594"/>
    <x v="1"/>
    <x v="18"/>
    <x v="1"/>
    <n v="4"/>
    <n v="500"/>
    <x v="11"/>
  </r>
  <r>
    <x v="595"/>
    <d v="2023-02-07T00:00:00"/>
    <x v="595"/>
    <x v="1"/>
    <x v="12"/>
    <x v="2"/>
    <n v="1"/>
    <n v="300"/>
    <x v="13"/>
  </r>
  <r>
    <x v="596"/>
    <d v="2023-08-22T00:00:00"/>
    <x v="596"/>
    <x v="0"/>
    <x v="11"/>
    <x v="0"/>
    <n v="4"/>
    <n v="300"/>
    <x v="14"/>
  </r>
  <r>
    <x v="597"/>
    <d v="2023-08-01T00:00:00"/>
    <x v="597"/>
    <x v="0"/>
    <x v="3"/>
    <x v="0"/>
    <n v="4"/>
    <n v="30"/>
    <x v="10"/>
  </r>
  <r>
    <x v="598"/>
    <d v="2023-11-19T00:00:00"/>
    <x v="598"/>
    <x v="1"/>
    <x v="20"/>
    <x v="0"/>
    <n v="2"/>
    <n v="50"/>
    <x v="4"/>
  </r>
  <r>
    <x v="599"/>
    <d v="2023-10-22T00:00:00"/>
    <x v="599"/>
    <x v="1"/>
    <x v="42"/>
    <x v="0"/>
    <n v="2"/>
    <n v="500"/>
    <x v="1"/>
  </r>
  <r>
    <x v="600"/>
    <d v="2023-04-10T00:00:00"/>
    <x v="600"/>
    <x v="0"/>
    <x v="14"/>
    <x v="1"/>
    <n v="1"/>
    <n v="30"/>
    <x v="2"/>
  </r>
  <r>
    <x v="601"/>
    <d v="2023-12-23T00:00:00"/>
    <x v="601"/>
    <x v="1"/>
    <x v="29"/>
    <x v="2"/>
    <n v="1"/>
    <n v="300"/>
    <x v="13"/>
  </r>
  <r>
    <x v="602"/>
    <d v="2023-07-16T00:00:00"/>
    <x v="602"/>
    <x v="1"/>
    <x v="30"/>
    <x v="1"/>
    <n v="3"/>
    <n v="30"/>
    <x v="15"/>
  </r>
  <r>
    <x v="603"/>
    <d v="2023-09-11T00:00:00"/>
    <x v="603"/>
    <x v="1"/>
    <x v="38"/>
    <x v="2"/>
    <n v="4"/>
    <n v="50"/>
    <x v="7"/>
  </r>
  <r>
    <x v="604"/>
    <d v="2023-07-24T00:00:00"/>
    <x v="604"/>
    <x v="0"/>
    <x v="3"/>
    <x v="2"/>
    <n v="2"/>
    <n v="500"/>
    <x v="1"/>
  </r>
  <r>
    <x v="605"/>
    <d v="2023-05-05T00:00:00"/>
    <x v="605"/>
    <x v="0"/>
    <x v="11"/>
    <x v="2"/>
    <n v="1"/>
    <n v="50"/>
    <x v="5"/>
  </r>
  <r>
    <x v="606"/>
    <d v="2023-03-17T00:00:00"/>
    <x v="606"/>
    <x v="0"/>
    <x v="31"/>
    <x v="1"/>
    <n v="3"/>
    <n v="25"/>
    <x v="8"/>
  </r>
  <r>
    <x v="607"/>
    <d v="2023-12-02T00:00:00"/>
    <x v="607"/>
    <x v="1"/>
    <x v="28"/>
    <x v="2"/>
    <n v="3"/>
    <n v="500"/>
    <x v="9"/>
  </r>
  <r>
    <x v="608"/>
    <d v="2023-12-19T00:00:00"/>
    <x v="608"/>
    <x v="1"/>
    <x v="16"/>
    <x v="1"/>
    <n v="2"/>
    <n v="50"/>
    <x v="4"/>
  </r>
  <r>
    <x v="609"/>
    <d v="2023-01-03T00:00:00"/>
    <x v="609"/>
    <x v="1"/>
    <x v="1"/>
    <x v="0"/>
    <n v="2"/>
    <n v="300"/>
    <x v="6"/>
  </r>
  <r>
    <x v="610"/>
    <d v="2023-02-24T00:00:00"/>
    <x v="610"/>
    <x v="0"/>
    <x v="25"/>
    <x v="0"/>
    <n v="3"/>
    <n v="500"/>
    <x v="9"/>
  </r>
  <r>
    <x v="611"/>
    <d v="2023-08-06T00:00:00"/>
    <x v="611"/>
    <x v="1"/>
    <x v="39"/>
    <x v="2"/>
    <n v="1"/>
    <n v="500"/>
    <x v="3"/>
  </r>
  <r>
    <x v="612"/>
    <d v="2023-04-23T00:00:00"/>
    <x v="612"/>
    <x v="1"/>
    <x v="8"/>
    <x v="1"/>
    <n v="3"/>
    <n v="30"/>
    <x v="15"/>
  </r>
  <r>
    <x v="613"/>
    <d v="2023-04-01T00:00:00"/>
    <x v="613"/>
    <x v="1"/>
    <x v="23"/>
    <x v="0"/>
    <n v="4"/>
    <n v="300"/>
    <x v="14"/>
  </r>
  <r>
    <x v="614"/>
    <d v="2023-12-23T00:00:00"/>
    <x v="614"/>
    <x v="1"/>
    <x v="39"/>
    <x v="1"/>
    <n v="4"/>
    <n v="25"/>
    <x v="4"/>
  </r>
  <r>
    <x v="615"/>
    <d v="2023-09-23T00:00:00"/>
    <x v="615"/>
    <x v="0"/>
    <x v="41"/>
    <x v="1"/>
    <n v="2"/>
    <n v="50"/>
    <x v="4"/>
  </r>
  <r>
    <x v="616"/>
    <d v="2023-08-26T00:00:00"/>
    <x v="616"/>
    <x v="0"/>
    <x v="0"/>
    <x v="2"/>
    <n v="1"/>
    <n v="30"/>
    <x v="2"/>
  </r>
  <r>
    <x v="617"/>
    <d v="2023-01-26T00:00:00"/>
    <x v="617"/>
    <x v="1"/>
    <x v="15"/>
    <x v="0"/>
    <n v="1"/>
    <n v="50"/>
    <x v="5"/>
  </r>
  <r>
    <x v="618"/>
    <d v="2023-10-13T00:00:00"/>
    <x v="618"/>
    <x v="0"/>
    <x v="16"/>
    <x v="2"/>
    <n v="4"/>
    <n v="25"/>
    <x v="4"/>
  </r>
  <r>
    <x v="619"/>
    <d v="2023-05-08T00:00:00"/>
    <x v="619"/>
    <x v="0"/>
    <x v="7"/>
    <x v="2"/>
    <n v="3"/>
    <n v="25"/>
    <x v="8"/>
  </r>
  <r>
    <x v="620"/>
    <d v="2023-03-04T00:00:00"/>
    <x v="620"/>
    <x v="1"/>
    <x v="30"/>
    <x v="0"/>
    <n v="2"/>
    <n v="500"/>
    <x v="1"/>
  </r>
  <r>
    <x v="621"/>
    <d v="2023-08-22T00:00:00"/>
    <x v="621"/>
    <x v="1"/>
    <x v="19"/>
    <x v="0"/>
    <n v="3"/>
    <n v="25"/>
    <x v="8"/>
  </r>
  <r>
    <x v="622"/>
    <d v="2023-03-10T00:00:00"/>
    <x v="622"/>
    <x v="0"/>
    <x v="0"/>
    <x v="1"/>
    <n v="3"/>
    <n v="50"/>
    <x v="0"/>
  </r>
  <r>
    <x v="623"/>
    <d v="2023-08-26T00:00:00"/>
    <x v="623"/>
    <x v="1"/>
    <x v="0"/>
    <x v="0"/>
    <n v="3"/>
    <n v="300"/>
    <x v="12"/>
  </r>
  <r>
    <x v="624"/>
    <d v="2023-12-08T00:00:00"/>
    <x v="624"/>
    <x v="0"/>
    <x v="33"/>
    <x v="1"/>
    <n v="1"/>
    <n v="300"/>
    <x v="13"/>
  </r>
  <r>
    <x v="625"/>
    <d v="2023-09-29T00:00:00"/>
    <x v="625"/>
    <x v="1"/>
    <x v="1"/>
    <x v="1"/>
    <n v="4"/>
    <n v="500"/>
    <x v="11"/>
  </r>
  <r>
    <x v="626"/>
    <d v="2023-10-14T00:00:00"/>
    <x v="626"/>
    <x v="0"/>
    <x v="35"/>
    <x v="1"/>
    <n v="1"/>
    <n v="50"/>
    <x v="5"/>
  </r>
  <r>
    <x v="627"/>
    <d v="2023-11-01T00:00:00"/>
    <x v="627"/>
    <x v="1"/>
    <x v="14"/>
    <x v="0"/>
    <n v="4"/>
    <n v="50"/>
    <x v="7"/>
  </r>
  <r>
    <x v="628"/>
    <d v="2023-06-12T00:00:00"/>
    <x v="628"/>
    <x v="0"/>
    <x v="17"/>
    <x v="2"/>
    <n v="2"/>
    <n v="25"/>
    <x v="5"/>
  </r>
  <r>
    <x v="629"/>
    <d v="2023-08-15T00:00:00"/>
    <x v="629"/>
    <x v="0"/>
    <x v="13"/>
    <x v="1"/>
    <n v="2"/>
    <n v="50"/>
    <x v="4"/>
  </r>
  <r>
    <x v="630"/>
    <d v="2023-11-10T00:00:00"/>
    <x v="630"/>
    <x v="0"/>
    <x v="37"/>
    <x v="2"/>
    <n v="3"/>
    <n v="30"/>
    <x v="15"/>
  </r>
  <r>
    <x v="631"/>
    <d v="2023-09-16T00:00:00"/>
    <x v="631"/>
    <x v="1"/>
    <x v="1"/>
    <x v="2"/>
    <n v="4"/>
    <n v="25"/>
    <x v="4"/>
  </r>
  <r>
    <x v="632"/>
    <d v="2023-08-07T00:00:00"/>
    <x v="632"/>
    <x v="0"/>
    <x v="23"/>
    <x v="0"/>
    <n v="4"/>
    <n v="30"/>
    <x v="10"/>
  </r>
  <r>
    <x v="633"/>
    <d v="2023-10-08T00:00:00"/>
    <x v="633"/>
    <x v="0"/>
    <x v="43"/>
    <x v="2"/>
    <n v="4"/>
    <n v="500"/>
    <x v="11"/>
  </r>
  <r>
    <x v="634"/>
    <d v="2023-08-17T00:00:00"/>
    <x v="634"/>
    <x v="1"/>
    <x v="7"/>
    <x v="2"/>
    <n v="3"/>
    <n v="300"/>
    <x v="12"/>
  </r>
  <r>
    <x v="635"/>
    <d v="2023-03-23T00:00:00"/>
    <x v="635"/>
    <x v="1"/>
    <x v="34"/>
    <x v="0"/>
    <n v="3"/>
    <n v="500"/>
    <x v="9"/>
  </r>
  <r>
    <x v="636"/>
    <d v="2023-09-01T00:00:00"/>
    <x v="636"/>
    <x v="0"/>
    <x v="22"/>
    <x v="1"/>
    <n v="2"/>
    <n v="300"/>
    <x v="6"/>
  </r>
  <r>
    <x v="637"/>
    <d v="2023-08-19T00:00:00"/>
    <x v="637"/>
    <x v="0"/>
    <x v="6"/>
    <x v="2"/>
    <n v="1"/>
    <n v="500"/>
    <x v="3"/>
  </r>
  <r>
    <x v="638"/>
    <d v="2023-05-13T00:00:00"/>
    <x v="638"/>
    <x v="1"/>
    <x v="17"/>
    <x v="0"/>
    <n v="4"/>
    <n v="50"/>
    <x v="7"/>
  </r>
  <r>
    <x v="639"/>
    <d v="2023-05-07T00:00:00"/>
    <x v="639"/>
    <x v="1"/>
    <x v="25"/>
    <x v="2"/>
    <n v="4"/>
    <n v="30"/>
    <x v="10"/>
  </r>
  <r>
    <x v="640"/>
    <d v="2023-11-23T00:00:00"/>
    <x v="640"/>
    <x v="1"/>
    <x v="30"/>
    <x v="2"/>
    <n v="1"/>
    <n v="300"/>
    <x v="13"/>
  </r>
  <r>
    <x v="641"/>
    <d v="2023-05-22T00:00:00"/>
    <x v="641"/>
    <x v="1"/>
    <x v="31"/>
    <x v="1"/>
    <n v="4"/>
    <n v="25"/>
    <x v="4"/>
  </r>
  <r>
    <x v="642"/>
    <d v="2023-09-24T00:00:00"/>
    <x v="642"/>
    <x v="1"/>
    <x v="20"/>
    <x v="2"/>
    <n v="3"/>
    <n v="30"/>
    <x v="15"/>
  </r>
  <r>
    <x v="643"/>
    <d v="2023-09-06T00:00:00"/>
    <x v="643"/>
    <x v="0"/>
    <x v="9"/>
    <x v="0"/>
    <n v="3"/>
    <n v="25"/>
    <x v="8"/>
  </r>
  <r>
    <x v="644"/>
    <d v="2023-11-17T00:00:00"/>
    <x v="644"/>
    <x v="1"/>
    <x v="10"/>
    <x v="2"/>
    <n v="4"/>
    <n v="30"/>
    <x v="10"/>
  </r>
  <r>
    <x v="645"/>
    <d v="2023-05-03T00:00:00"/>
    <x v="645"/>
    <x v="0"/>
    <x v="21"/>
    <x v="1"/>
    <n v="3"/>
    <n v="30"/>
    <x v="15"/>
  </r>
  <r>
    <x v="646"/>
    <d v="2023-05-21T00:00:00"/>
    <x v="646"/>
    <x v="0"/>
    <x v="42"/>
    <x v="1"/>
    <n v="3"/>
    <n v="500"/>
    <x v="9"/>
  </r>
  <r>
    <x v="647"/>
    <d v="2023-08-14T00:00:00"/>
    <x v="647"/>
    <x v="0"/>
    <x v="45"/>
    <x v="0"/>
    <n v="4"/>
    <n v="300"/>
    <x v="14"/>
  </r>
  <r>
    <x v="648"/>
    <d v="2023-02-09T00:00:00"/>
    <x v="648"/>
    <x v="1"/>
    <x v="26"/>
    <x v="1"/>
    <n v="2"/>
    <n v="300"/>
    <x v="6"/>
  </r>
  <r>
    <x v="649"/>
    <d v="2024-01-01T00:00:00"/>
    <x v="649"/>
    <x v="0"/>
    <x v="28"/>
    <x v="2"/>
    <n v="1"/>
    <n v="30"/>
    <x v="2"/>
  </r>
  <r>
    <x v="650"/>
    <d v="2023-05-27T00:00:00"/>
    <x v="650"/>
    <x v="0"/>
    <x v="25"/>
    <x v="1"/>
    <n v="3"/>
    <n v="50"/>
    <x v="0"/>
  </r>
  <r>
    <x v="651"/>
    <d v="2023-05-01T00:00:00"/>
    <x v="651"/>
    <x v="1"/>
    <x v="0"/>
    <x v="0"/>
    <n v="2"/>
    <n v="50"/>
    <x v="4"/>
  </r>
  <r>
    <x v="652"/>
    <d v="2023-05-20T00:00:00"/>
    <x v="652"/>
    <x v="0"/>
    <x v="31"/>
    <x v="1"/>
    <n v="3"/>
    <n v="25"/>
    <x v="8"/>
  </r>
  <r>
    <x v="653"/>
    <d v="2023-06-21T00:00:00"/>
    <x v="653"/>
    <x v="0"/>
    <x v="13"/>
    <x v="1"/>
    <n v="3"/>
    <n v="25"/>
    <x v="8"/>
  </r>
  <r>
    <x v="654"/>
    <d v="2023-06-13T00:00:00"/>
    <x v="654"/>
    <x v="1"/>
    <x v="28"/>
    <x v="1"/>
    <n v="1"/>
    <n v="500"/>
    <x v="3"/>
  </r>
  <r>
    <x v="655"/>
    <d v="2023-10-04T00:00:00"/>
    <x v="655"/>
    <x v="0"/>
    <x v="38"/>
    <x v="0"/>
    <n v="3"/>
    <n v="30"/>
    <x v="15"/>
  </r>
  <r>
    <x v="656"/>
    <d v="2023-02-11T00:00:00"/>
    <x v="656"/>
    <x v="0"/>
    <x v="30"/>
    <x v="1"/>
    <n v="1"/>
    <n v="25"/>
    <x v="16"/>
  </r>
  <r>
    <x v="657"/>
    <d v="2023-03-12T00:00:00"/>
    <x v="657"/>
    <x v="0"/>
    <x v="42"/>
    <x v="1"/>
    <n v="1"/>
    <n v="25"/>
    <x v="16"/>
  </r>
  <r>
    <x v="658"/>
    <d v="2023-03-19T00:00:00"/>
    <x v="658"/>
    <x v="1"/>
    <x v="23"/>
    <x v="2"/>
    <n v="1"/>
    <n v="30"/>
    <x v="2"/>
  </r>
  <r>
    <x v="659"/>
    <d v="2023-04-29T00:00:00"/>
    <x v="659"/>
    <x v="1"/>
    <x v="21"/>
    <x v="0"/>
    <n v="2"/>
    <n v="500"/>
    <x v="1"/>
  </r>
  <r>
    <x v="660"/>
    <d v="2023-07-16T00:00:00"/>
    <x v="660"/>
    <x v="1"/>
    <x v="24"/>
    <x v="1"/>
    <n v="4"/>
    <n v="25"/>
    <x v="4"/>
  </r>
  <r>
    <x v="661"/>
    <d v="2023-12-22T00:00:00"/>
    <x v="661"/>
    <x v="0"/>
    <x v="27"/>
    <x v="0"/>
    <n v="2"/>
    <n v="500"/>
    <x v="1"/>
  </r>
  <r>
    <x v="662"/>
    <d v="2023-03-20T00:00:00"/>
    <x v="662"/>
    <x v="0"/>
    <x v="9"/>
    <x v="1"/>
    <n v="4"/>
    <n v="300"/>
    <x v="14"/>
  </r>
  <r>
    <x v="663"/>
    <d v="2023-12-28T00:00:00"/>
    <x v="663"/>
    <x v="1"/>
    <x v="24"/>
    <x v="1"/>
    <n v="4"/>
    <n v="500"/>
    <x v="11"/>
  </r>
  <r>
    <x v="664"/>
    <d v="2023-04-20T00:00:00"/>
    <x v="664"/>
    <x v="0"/>
    <x v="35"/>
    <x v="1"/>
    <n v="1"/>
    <n v="50"/>
    <x v="5"/>
  </r>
  <r>
    <x v="665"/>
    <d v="2023-02-02T00:00:00"/>
    <x v="665"/>
    <x v="0"/>
    <x v="25"/>
    <x v="2"/>
    <n v="3"/>
    <n v="50"/>
    <x v="0"/>
  </r>
  <r>
    <x v="666"/>
    <d v="2023-08-01T00:00:00"/>
    <x v="666"/>
    <x v="1"/>
    <x v="38"/>
    <x v="2"/>
    <n v="1"/>
    <n v="500"/>
    <x v="3"/>
  </r>
  <r>
    <x v="667"/>
    <d v="2023-07-28T00:00:00"/>
    <x v="667"/>
    <x v="1"/>
    <x v="17"/>
    <x v="2"/>
    <n v="3"/>
    <n v="50"/>
    <x v="0"/>
  </r>
  <r>
    <x v="668"/>
    <d v="2023-06-19T00:00:00"/>
    <x v="668"/>
    <x v="0"/>
    <x v="46"/>
    <x v="0"/>
    <n v="4"/>
    <n v="300"/>
    <x v="14"/>
  </r>
  <r>
    <x v="669"/>
    <d v="2023-10-05T00:00:00"/>
    <x v="669"/>
    <x v="0"/>
    <x v="15"/>
    <x v="0"/>
    <n v="1"/>
    <n v="30"/>
    <x v="2"/>
  </r>
  <r>
    <x v="670"/>
    <d v="2023-08-27T00:00:00"/>
    <x v="670"/>
    <x v="0"/>
    <x v="17"/>
    <x v="2"/>
    <n v="3"/>
    <n v="50"/>
    <x v="0"/>
  </r>
  <r>
    <x v="671"/>
    <d v="2023-08-01T00:00:00"/>
    <x v="671"/>
    <x v="1"/>
    <x v="0"/>
    <x v="0"/>
    <n v="2"/>
    <n v="50"/>
    <x v="4"/>
  </r>
  <r>
    <x v="672"/>
    <d v="2023-02-01T00:00:00"/>
    <x v="672"/>
    <x v="1"/>
    <x v="22"/>
    <x v="1"/>
    <n v="3"/>
    <n v="500"/>
    <x v="9"/>
  </r>
  <r>
    <x v="673"/>
    <d v="2023-04-16T00:00:00"/>
    <x v="673"/>
    <x v="1"/>
    <x v="21"/>
    <x v="1"/>
    <n v="1"/>
    <n v="300"/>
    <x v="13"/>
  </r>
  <r>
    <x v="674"/>
    <d v="2023-08-04T00:00:00"/>
    <x v="674"/>
    <x v="1"/>
    <x v="5"/>
    <x v="1"/>
    <n v="2"/>
    <n v="30"/>
    <x v="17"/>
  </r>
  <r>
    <x v="675"/>
    <d v="2023-07-19T00:00:00"/>
    <x v="675"/>
    <x v="0"/>
    <x v="7"/>
    <x v="2"/>
    <n v="3"/>
    <n v="500"/>
    <x v="9"/>
  </r>
  <r>
    <x v="676"/>
    <d v="2023-10-27T00:00:00"/>
    <x v="676"/>
    <x v="1"/>
    <x v="14"/>
    <x v="0"/>
    <n v="3"/>
    <n v="500"/>
    <x v="9"/>
  </r>
  <r>
    <x v="677"/>
    <d v="2023-12-23T00:00:00"/>
    <x v="677"/>
    <x v="1"/>
    <x v="43"/>
    <x v="2"/>
    <n v="3"/>
    <n v="300"/>
    <x v="12"/>
  </r>
  <r>
    <x v="678"/>
    <d v="2023-01-11T00:00:00"/>
    <x v="678"/>
    <x v="1"/>
    <x v="18"/>
    <x v="0"/>
    <n v="3"/>
    <n v="30"/>
    <x v="15"/>
  </r>
  <r>
    <x v="679"/>
    <d v="2023-10-22T00:00:00"/>
    <x v="679"/>
    <x v="1"/>
    <x v="45"/>
    <x v="1"/>
    <n v="3"/>
    <n v="300"/>
    <x v="12"/>
  </r>
  <r>
    <x v="680"/>
    <d v="2023-07-14T00:00:00"/>
    <x v="680"/>
    <x v="1"/>
    <x v="22"/>
    <x v="2"/>
    <n v="2"/>
    <n v="30"/>
    <x v="17"/>
  </r>
  <r>
    <x v="681"/>
    <d v="2023-09-02T00:00:00"/>
    <x v="681"/>
    <x v="0"/>
    <x v="6"/>
    <x v="0"/>
    <n v="4"/>
    <n v="300"/>
    <x v="14"/>
  </r>
  <r>
    <x v="682"/>
    <d v="2023-01-04T00:00:00"/>
    <x v="682"/>
    <x v="0"/>
    <x v="21"/>
    <x v="0"/>
    <n v="2"/>
    <n v="500"/>
    <x v="1"/>
  </r>
  <r>
    <x v="683"/>
    <d v="2023-06-30T00:00:00"/>
    <x v="683"/>
    <x v="1"/>
    <x v="20"/>
    <x v="1"/>
    <n v="2"/>
    <n v="500"/>
    <x v="1"/>
  </r>
  <r>
    <x v="684"/>
    <d v="2023-06-02T00:00:00"/>
    <x v="684"/>
    <x v="0"/>
    <x v="35"/>
    <x v="2"/>
    <n v="2"/>
    <n v="25"/>
    <x v="5"/>
  </r>
  <r>
    <x v="685"/>
    <d v="2023-07-19T00:00:00"/>
    <x v="685"/>
    <x v="1"/>
    <x v="20"/>
    <x v="2"/>
    <n v="4"/>
    <n v="50"/>
    <x v="7"/>
  </r>
  <r>
    <x v="686"/>
    <d v="2023-08-03T00:00:00"/>
    <x v="686"/>
    <x v="1"/>
    <x v="45"/>
    <x v="2"/>
    <n v="1"/>
    <n v="300"/>
    <x v="13"/>
  </r>
  <r>
    <x v="687"/>
    <d v="2023-10-03T00:00:00"/>
    <x v="687"/>
    <x v="0"/>
    <x v="37"/>
    <x v="1"/>
    <n v="4"/>
    <n v="25"/>
    <x v="4"/>
  </r>
  <r>
    <x v="688"/>
    <d v="2023-10-07T00:00:00"/>
    <x v="688"/>
    <x v="0"/>
    <x v="35"/>
    <x v="2"/>
    <n v="2"/>
    <n v="50"/>
    <x v="4"/>
  </r>
  <r>
    <x v="689"/>
    <d v="2023-11-05T00:00:00"/>
    <x v="689"/>
    <x v="1"/>
    <x v="8"/>
    <x v="1"/>
    <n v="3"/>
    <n v="300"/>
    <x v="12"/>
  </r>
  <r>
    <x v="690"/>
    <d v="2023-04-23T00:00:00"/>
    <x v="690"/>
    <x v="1"/>
    <x v="25"/>
    <x v="1"/>
    <n v="3"/>
    <n v="30"/>
    <x v="15"/>
  </r>
  <r>
    <x v="691"/>
    <d v="2023-09-07T00:00:00"/>
    <x v="691"/>
    <x v="1"/>
    <x v="12"/>
    <x v="1"/>
    <n v="2"/>
    <n v="50"/>
    <x v="4"/>
  </r>
  <r>
    <x v="692"/>
    <d v="2023-04-23T00:00:00"/>
    <x v="692"/>
    <x v="0"/>
    <x v="41"/>
    <x v="0"/>
    <n v="3"/>
    <n v="500"/>
    <x v="9"/>
  </r>
  <r>
    <x v="693"/>
    <d v="2023-05-20T00:00:00"/>
    <x v="693"/>
    <x v="1"/>
    <x v="23"/>
    <x v="2"/>
    <n v="2"/>
    <n v="25"/>
    <x v="5"/>
  </r>
  <r>
    <x v="694"/>
    <d v="2023-08-12T00:00:00"/>
    <x v="694"/>
    <x v="1"/>
    <x v="11"/>
    <x v="2"/>
    <n v="3"/>
    <n v="50"/>
    <x v="0"/>
  </r>
  <r>
    <x v="695"/>
    <d v="2023-09-06T00:00:00"/>
    <x v="695"/>
    <x v="1"/>
    <x v="2"/>
    <x v="1"/>
    <n v="4"/>
    <n v="50"/>
    <x v="7"/>
  </r>
  <r>
    <x v="696"/>
    <d v="2023-01-15T00:00:00"/>
    <x v="696"/>
    <x v="0"/>
    <x v="45"/>
    <x v="1"/>
    <n v="1"/>
    <n v="500"/>
    <x v="3"/>
  </r>
  <r>
    <x v="697"/>
    <d v="2023-07-19T00:00:00"/>
    <x v="697"/>
    <x v="1"/>
    <x v="12"/>
    <x v="2"/>
    <n v="1"/>
    <n v="300"/>
    <x v="13"/>
  </r>
  <r>
    <x v="698"/>
    <d v="2023-06-22T00:00:00"/>
    <x v="698"/>
    <x v="1"/>
    <x v="3"/>
    <x v="1"/>
    <n v="4"/>
    <n v="30"/>
    <x v="10"/>
  </r>
  <r>
    <x v="699"/>
    <d v="2023-12-09T00:00:00"/>
    <x v="699"/>
    <x v="0"/>
    <x v="32"/>
    <x v="2"/>
    <n v="4"/>
    <n v="500"/>
    <x v="11"/>
  </r>
  <r>
    <x v="700"/>
    <d v="2023-12-14T00:00:00"/>
    <x v="700"/>
    <x v="1"/>
    <x v="8"/>
    <x v="0"/>
    <n v="2"/>
    <n v="30"/>
    <x v="17"/>
  </r>
  <r>
    <x v="701"/>
    <d v="2023-07-27T00:00:00"/>
    <x v="701"/>
    <x v="1"/>
    <x v="43"/>
    <x v="1"/>
    <n v="2"/>
    <n v="300"/>
    <x v="6"/>
  </r>
  <r>
    <x v="702"/>
    <d v="2023-03-26T00:00:00"/>
    <x v="702"/>
    <x v="0"/>
    <x v="0"/>
    <x v="2"/>
    <n v="2"/>
    <n v="50"/>
    <x v="4"/>
  </r>
  <r>
    <x v="703"/>
    <d v="2023-08-28T00:00:00"/>
    <x v="703"/>
    <x v="1"/>
    <x v="17"/>
    <x v="1"/>
    <n v="3"/>
    <n v="30"/>
    <x v="15"/>
  </r>
  <r>
    <x v="704"/>
    <d v="2023-03-07T00:00:00"/>
    <x v="704"/>
    <x v="0"/>
    <x v="43"/>
    <x v="2"/>
    <n v="2"/>
    <n v="25"/>
    <x v="5"/>
  </r>
  <r>
    <x v="705"/>
    <d v="2023-11-15T00:00:00"/>
    <x v="705"/>
    <x v="0"/>
    <x v="25"/>
    <x v="2"/>
    <n v="4"/>
    <n v="25"/>
    <x v="4"/>
  </r>
  <r>
    <x v="706"/>
    <d v="2023-10-01T00:00:00"/>
    <x v="706"/>
    <x v="1"/>
    <x v="1"/>
    <x v="1"/>
    <n v="1"/>
    <n v="500"/>
    <x v="3"/>
  </r>
  <r>
    <x v="707"/>
    <d v="2023-01-14T00:00:00"/>
    <x v="707"/>
    <x v="1"/>
    <x v="22"/>
    <x v="0"/>
    <n v="3"/>
    <n v="300"/>
    <x v="12"/>
  </r>
  <r>
    <x v="708"/>
    <d v="2023-07-21T00:00:00"/>
    <x v="708"/>
    <x v="1"/>
    <x v="14"/>
    <x v="2"/>
    <n v="2"/>
    <n v="500"/>
    <x v="1"/>
  </r>
  <r>
    <x v="709"/>
    <d v="2023-10-31T00:00:00"/>
    <x v="709"/>
    <x v="1"/>
    <x v="1"/>
    <x v="2"/>
    <n v="3"/>
    <n v="500"/>
    <x v="9"/>
  </r>
  <r>
    <x v="710"/>
    <d v="2023-10-16T00:00:00"/>
    <x v="710"/>
    <x v="0"/>
    <x v="1"/>
    <x v="2"/>
    <n v="3"/>
    <n v="500"/>
    <x v="9"/>
  </r>
  <r>
    <x v="711"/>
    <d v="2023-12-06T00:00:00"/>
    <x v="711"/>
    <x v="1"/>
    <x v="35"/>
    <x v="0"/>
    <n v="2"/>
    <n v="25"/>
    <x v="5"/>
  </r>
  <r>
    <x v="712"/>
    <d v="2023-01-14T00:00:00"/>
    <x v="712"/>
    <x v="0"/>
    <x v="0"/>
    <x v="0"/>
    <n v="3"/>
    <n v="25"/>
    <x v="8"/>
  </r>
  <r>
    <x v="713"/>
    <d v="2023-02-12T00:00:00"/>
    <x v="713"/>
    <x v="1"/>
    <x v="18"/>
    <x v="1"/>
    <n v="1"/>
    <n v="500"/>
    <x v="3"/>
  </r>
  <r>
    <x v="714"/>
    <d v="2023-11-26T00:00:00"/>
    <x v="714"/>
    <x v="1"/>
    <x v="13"/>
    <x v="0"/>
    <n v="4"/>
    <n v="25"/>
    <x v="4"/>
  </r>
  <r>
    <x v="715"/>
    <d v="2023-08-08T00:00:00"/>
    <x v="715"/>
    <x v="1"/>
    <x v="43"/>
    <x v="1"/>
    <n v="4"/>
    <n v="300"/>
    <x v="14"/>
  </r>
  <r>
    <x v="716"/>
    <d v="2023-03-11T00:00:00"/>
    <x v="716"/>
    <x v="0"/>
    <x v="35"/>
    <x v="1"/>
    <n v="1"/>
    <n v="500"/>
    <x v="3"/>
  </r>
  <r>
    <x v="717"/>
    <d v="2023-08-25T00:00:00"/>
    <x v="717"/>
    <x v="1"/>
    <x v="42"/>
    <x v="0"/>
    <n v="3"/>
    <n v="25"/>
    <x v="8"/>
  </r>
  <r>
    <x v="718"/>
    <d v="2023-04-04T00:00:00"/>
    <x v="718"/>
    <x v="1"/>
    <x v="13"/>
    <x v="1"/>
    <n v="2"/>
    <n v="30"/>
    <x v="17"/>
  </r>
  <r>
    <x v="719"/>
    <d v="2023-01-26T00:00:00"/>
    <x v="719"/>
    <x v="1"/>
    <x v="37"/>
    <x v="0"/>
    <n v="3"/>
    <n v="500"/>
    <x v="9"/>
  </r>
  <r>
    <x v="720"/>
    <d v="2023-05-14T00:00:00"/>
    <x v="720"/>
    <x v="1"/>
    <x v="8"/>
    <x v="1"/>
    <n v="1"/>
    <n v="500"/>
    <x v="3"/>
  </r>
  <r>
    <x v="721"/>
    <d v="2023-07-14T00:00:00"/>
    <x v="721"/>
    <x v="0"/>
    <x v="29"/>
    <x v="0"/>
    <n v="3"/>
    <n v="300"/>
    <x v="12"/>
  </r>
  <r>
    <x v="722"/>
    <d v="2023-06-17T00:00:00"/>
    <x v="722"/>
    <x v="1"/>
    <x v="31"/>
    <x v="0"/>
    <n v="4"/>
    <n v="50"/>
    <x v="7"/>
  </r>
  <r>
    <x v="723"/>
    <d v="2023-04-19T00:00:00"/>
    <x v="723"/>
    <x v="0"/>
    <x v="39"/>
    <x v="1"/>
    <n v="3"/>
    <n v="50"/>
    <x v="0"/>
  </r>
  <r>
    <x v="724"/>
    <d v="2023-08-21T00:00:00"/>
    <x v="724"/>
    <x v="0"/>
    <x v="39"/>
    <x v="2"/>
    <n v="1"/>
    <n v="300"/>
    <x v="13"/>
  </r>
  <r>
    <x v="725"/>
    <d v="2023-06-17T00:00:00"/>
    <x v="725"/>
    <x v="0"/>
    <x v="16"/>
    <x v="1"/>
    <n v="4"/>
    <n v="300"/>
    <x v="14"/>
  </r>
  <r>
    <x v="726"/>
    <d v="2023-06-22T00:00:00"/>
    <x v="726"/>
    <x v="0"/>
    <x v="28"/>
    <x v="0"/>
    <n v="3"/>
    <n v="300"/>
    <x v="12"/>
  </r>
  <r>
    <x v="727"/>
    <d v="2023-07-14T00:00:00"/>
    <x v="727"/>
    <x v="0"/>
    <x v="25"/>
    <x v="2"/>
    <n v="3"/>
    <n v="50"/>
    <x v="0"/>
  </r>
  <r>
    <x v="728"/>
    <d v="2023-05-23T00:00:00"/>
    <x v="728"/>
    <x v="0"/>
    <x v="38"/>
    <x v="1"/>
    <n v="4"/>
    <n v="300"/>
    <x v="14"/>
  </r>
  <r>
    <x v="729"/>
    <d v="2023-08-04T00:00:00"/>
    <x v="729"/>
    <x v="1"/>
    <x v="32"/>
    <x v="1"/>
    <n v="2"/>
    <n v="25"/>
    <x v="5"/>
  </r>
  <r>
    <x v="730"/>
    <d v="2023-05-10T00:00:00"/>
    <x v="730"/>
    <x v="0"/>
    <x v="31"/>
    <x v="1"/>
    <n v="4"/>
    <n v="500"/>
    <x v="11"/>
  </r>
  <r>
    <x v="731"/>
    <d v="2023-02-11T00:00:00"/>
    <x v="731"/>
    <x v="0"/>
    <x v="39"/>
    <x v="2"/>
    <n v="2"/>
    <n v="500"/>
    <x v="1"/>
  </r>
  <r>
    <x v="732"/>
    <d v="2023-08-29T00:00:00"/>
    <x v="732"/>
    <x v="0"/>
    <x v="0"/>
    <x v="0"/>
    <n v="1"/>
    <n v="30"/>
    <x v="2"/>
  </r>
  <r>
    <x v="733"/>
    <d v="2023-01-10T00:00:00"/>
    <x v="733"/>
    <x v="1"/>
    <x v="15"/>
    <x v="1"/>
    <n v="1"/>
    <n v="30"/>
    <x v="2"/>
  </r>
  <r>
    <x v="734"/>
    <d v="2023-10-04T00:00:00"/>
    <x v="734"/>
    <x v="1"/>
    <x v="12"/>
    <x v="1"/>
    <n v="4"/>
    <n v="500"/>
    <x v="11"/>
  </r>
  <r>
    <x v="735"/>
    <d v="2023-01-27T00:00:00"/>
    <x v="735"/>
    <x v="0"/>
    <x v="38"/>
    <x v="1"/>
    <n v="4"/>
    <n v="25"/>
    <x v="4"/>
  </r>
  <r>
    <x v="736"/>
    <d v="2023-06-29T00:00:00"/>
    <x v="736"/>
    <x v="1"/>
    <x v="44"/>
    <x v="1"/>
    <n v="1"/>
    <n v="50"/>
    <x v="5"/>
  </r>
  <r>
    <x v="737"/>
    <d v="2023-04-25T00:00:00"/>
    <x v="737"/>
    <x v="0"/>
    <x v="41"/>
    <x v="1"/>
    <n v="2"/>
    <n v="50"/>
    <x v="4"/>
  </r>
  <r>
    <x v="738"/>
    <d v="2023-11-29T00:00:00"/>
    <x v="738"/>
    <x v="0"/>
    <x v="32"/>
    <x v="0"/>
    <n v="1"/>
    <n v="25"/>
    <x v="16"/>
  </r>
  <r>
    <x v="739"/>
    <d v="2023-02-05T00:00:00"/>
    <x v="739"/>
    <x v="1"/>
    <x v="36"/>
    <x v="0"/>
    <n v="4"/>
    <n v="50"/>
    <x v="7"/>
  </r>
  <r>
    <x v="740"/>
    <d v="2023-11-30T00:00:00"/>
    <x v="740"/>
    <x v="0"/>
    <x v="27"/>
    <x v="1"/>
    <n v="1"/>
    <n v="300"/>
    <x v="13"/>
  </r>
  <r>
    <x v="741"/>
    <d v="2023-01-21T00:00:00"/>
    <x v="741"/>
    <x v="1"/>
    <x v="21"/>
    <x v="2"/>
    <n v="4"/>
    <n v="500"/>
    <x v="11"/>
  </r>
  <r>
    <x v="742"/>
    <d v="2023-01-16T00:00:00"/>
    <x v="742"/>
    <x v="1"/>
    <x v="0"/>
    <x v="0"/>
    <n v="4"/>
    <n v="500"/>
    <x v="11"/>
  </r>
  <r>
    <x v="743"/>
    <d v="2023-05-07T00:00:00"/>
    <x v="743"/>
    <x v="0"/>
    <x v="30"/>
    <x v="2"/>
    <n v="1"/>
    <n v="25"/>
    <x v="16"/>
  </r>
  <r>
    <x v="744"/>
    <d v="2023-04-13T00:00:00"/>
    <x v="744"/>
    <x v="0"/>
    <x v="31"/>
    <x v="0"/>
    <n v="2"/>
    <n v="50"/>
    <x v="4"/>
  </r>
  <r>
    <x v="745"/>
    <d v="2023-01-11T00:00:00"/>
    <x v="745"/>
    <x v="1"/>
    <x v="44"/>
    <x v="1"/>
    <n v="3"/>
    <n v="30"/>
    <x v="15"/>
  </r>
  <r>
    <x v="746"/>
    <d v="2023-11-15T00:00:00"/>
    <x v="746"/>
    <x v="0"/>
    <x v="9"/>
    <x v="0"/>
    <n v="1"/>
    <n v="30"/>
    <x v="2"/>
  </r>
  <r>
    <x v="747"/>
    <d v="2023-03-20T00:00:00"/>
    <x v="747"/>
    <x v="0"/>
    <x v="36"/>
    <x v="1"/>
    <n v="3"/>
    <n v="50"/>
    <x v="0"/>
  </r>
  <r>
    <x v="748"/>
    <d v="2023-05-03T00:00:00"/>
    <x v="748"/>
    <x v="0"/>
    <x v="13"/>
    <x v="0"/>
    <n v="1"/>
    <n v="30"/>
    <x v="2"/>
  </r>
  <r>
    <x v="749"/>
    <d v="2023-03-06T00:00:00"/>
    <x v="749"/>
    <x v="1"/>
    <x v="10"/>
    <x v="1"/>
    <n v="3"/>
    <n v="25"/>
    <x v="8"/>
  </r>
  <r>
    <x v="750"/>
    <d v="2023-08-31T00:00:00"/>
    <x v="750"/>
    <x v="1"/>
    <x v="13"/>
    <x v="1"/>
    <n v="2"/>
    <n v="25"/>
    <x v="5"/>
  </r>
  <r>
    <x v="751"/>
    <d v="2023-12-09T00:00:00"/>
    <x v="751"/>
    <x v="0"/>
    <x v="38"/>
    <x v="1"/>
    <n v="2"/>
    <n v="50"/>
    <x v="4"/>
  </r>
  <r>
    <x v="752"/>
    <d v="2023-02-28T00:00:00"/>
    <x v="752"/>
    <x v="1"/>
    <x v="40"/>
    <x v="1"/>
    <n v="1"/>
    <n v="30"/>
    <x v="2"/>
  </r>
  <r>
    <x v="753"/>
    <d v="2023-10-16T00:00:00"/>
    <x v="753"/>
    <x v="1"/>
    <x v="22"/>
    <x v="2"/>
    <n v="4"/>
    <n v="25"/>
    <x v="4"/>
  </r>
  <r>
    <x v="754"/>
    <d v="2023-04-22T00:00:00"/>
    <x v="754"/>
    <x v="1"/>
    <x v="26"/>
    <x v="1"/>
    <n v="3"/>
    <n v="25"/>
    <x v="8"/>
  </r>
  <r>
    <x v="755"/>
    <d v="2023-08-27T00:00:00"/>
    <x v="755"/>
    <x v="1"/>
    <x v="17"/>
    <x v="2"/>
    <n v="4"/>
    <n v="300"/>
    <x v="14"/>
  </r>
  <r>
    <x v="756"/>
    <d v="2023-12-25T00:00:00"/>
    <x v="756"/>
    <x v="1"/>
    <x v="22"/>
    <x v="2"/>
    <n v="4"/>
    <n v="300"/>
    <x v="14"/>
  </r>
  <r>
    <x v="757"/>
    <d v="2023-05-12T00:00:00"/>
    <x v="757"/>
    <x v="0"/>
    <x v="12"/>
    <x v="1"/>
    <n v="4"/>
    <n v="25"/>
    <x v="4"/>
  </r>
  <r>
    <x v="758"/>
    <d v="2023-07-08T00:00:00"/>
    <x v="758"/>
    <x v="0"/>
    <x v="19"/>
    <x v="2"/>
    <n v="2"/>
    <n v="50"/>
    <x v="4"/>
  </r>
  <r>
    <x v="759"/>
    <d v="2023-03-27T00:00:00"/>
    <x v="759"/>
    <x v="0"/>
    <x v="15"/>
    <x v="0"/>
    <n v="1"/>
    <n v="500"/>
    <x v="3"/>
  </r>
  <r>
    <x v="760"/>
    <d v="2023-11-07T00:00:00"/>
    <x v="760"/>
    <x v="1"/>
    <x v="44"/>
    <x v="1"/>
    <n v="1"/>
    <n v="500"/>
    <x v="3"/>
  </r>
  <r>
    <x v="761"/>
    <d v="2023-11-07T00:00:00"/>
    <x v="761"/>
    <x v="1"/>
    <x v="46"/>
    <x v="2"/>
    <n v="2"/>
    <n v="25"/>
    <x v="5"/>
  </r>
  <r>
    <x v="762"/>
    <d v="2023-02-28T00:00:00"/>
    <x v="762"/>
    <x v="0"/>
    <x v="0"/>
    <x v="1"/>
    <n v="2"/>
    <n v="25"/>
    <x v="5"/>
  </r>
  <r>
    <x v="763"/>
    <d v="2023-03-25T00:00:00"/>
    <x v="763"/>
    <x v="1"/>
    <x v="30"/>
    <x v="1"/>
    <n v="1"/>
    <n v="25"/>
    <x v="16"/>
  </r>
  <r>
    <x v="764"/>
    <d v="2023-06-09T00:00:00"/>
    <x v="764"/>
    <x v="0"/>
    <x v="22"/>
    <x v="1"/>
    <n v="4"/>
    <n v="50"/>
    <x v="7"/>
  </r>
  <r>
    <x v="765"/>
    <d v="2023-02-25T00:00:00"/>
    <x v="765"/>
    <x v="0"/>
    <x v="21"/>
    <x v="2"/>
    <n v="3"/>
    <n v="300"/>
    <x v="12"/>
  </r>
  <r>
    <x v="766"/>
    <d v="2023-10-24T00:00:00"/>
    <x v="766"/>
    <x v="0"/>
    <x v="23"/>
    <x v="0"/>
    <n v="3"/>
    <n v="25"/>
    <x v="8"/>
  </r>
  <r>
    <x v="767"/>
    <d v="2023-01-14T00:00:00"/>
    <x v="767"/>
    <x v="1"/>
    <x v="46"/>
    <x v="0"/>
    <n v="3"/>
    <n v="25"/>
    <x v="8"/>
  </r>
  <r>
    <x v="768"/>
    <d v="2023-06-09T00:00:00"/>
    <x v="768"/>
    <x v="1"/>
    <x v="33"/>
    <x v="2"/>
    <n v="4"/>
    <n v="30"/>
    <x v="10"/>
  </r>
  <r>
    <x v="769"/>
    <d v="2023-10-22T00:00:00"/>
    <x v="769"/>
    <x v="0"/>
    <x v="40"/>
    <x v="1"/>
    <n v="1"/>
    <n v="50"/>
    <x v="5"/>
  </r>
  <r>
    <x v="770"/>
    <d v="2023-12-13T00:00:00"/>
    <x v="770"/>
    <x v="0"/>
    <x v="46"/>
    <x v="2"/>
    <n v="2"/>
    <n v="25"/>
    <x v="5"/>
  </r>
  <r>
    <x v="771"/>
    <d v="2023-07-12T00:00:00"/>
    <x v="771"/>
    <x v="0"/>
    <x v="1"/>
    <x v="2"/>
    <n v="1"/>
    <n v="30"/>
    <x v="2"/>
  </r>
  <r>
    <x v="772"/>
    <d v="2023-07-23T00:00:00"/>
    <x v="772"/>
    <x v="0"/>
    <x v="36"/>
    <x v="2"/>
    <n v="4"/>
    <n v="500"/>
    <x v="11"/>
  </r>
  <r>
    <x v="773"/>
    <d v="2023-04-12T00:00:00"/>
    <x v="773"/>
    <x v="1"/>
    <x v="30"/>
    <x v="1"/>
    <n v="2"/>
    <n v="25"/>
    <x v="5"/>
  </r>
  <r>
    <x v="774"/>
    <d v="2023-02-08T00:00:00"/>
    <x v="774"/>
    <x v="1"/>
    <x v="6"/>
    <x v="2"/>
    <n v="4"/>
    <n v="25"/>
    <x v="4"/>
  </r>
  <r>
    <x v="775"/>
    <d v="2023-10-31T00:00:00"/>
    <x v="775"/>
    <x v="0"/>
    <x v="10"/>
    <x v="1"/>
    <n v="3"/>
    <n v="30"/>
    <x v="15"/>
  </r>
  <r>
    <x v="776"/>
    <d v="2023-12-20T00:00:00"/>
    <x v="776"/>
    <x v="0"/>
    <x v="27"/>
    <x v="2"/>
    <n v="3"/>
    <n v="50"/>
    <x v="0"/>
  </r>
  <r>
    <x v="777"/>
    <d v="2023-11-18T00:00:00"/>
    <x v="777"/>
    <x v="1"/>
    <x v="16"/>
    <x v="0"/>
    <n v="4"/>
    <n v="25"/>
    <x v="4"/>
  </r>
  <r>
    <x v="778"/>
    <d v="2023-05-05T00:00:00"/>
    <x v="778"/>
    <x v="1"/>
    <x v="37"/>
    <x v="2"/>
    <n v="2"/>
    <n v="500"/>
    <x v="1"/>
  </r>
  <r>
    <x v="779"/>
    <d v="2023-02-22T00:00:00"/>
    <x v="779"/>
    <x v="0"/>
    <x v="8"/>
    <x v="2"/>
    <n v="2"/>
    <n v="25"/>
    <x v="5"/>
  </r>
  <r>
    <x v="780"/>
    <d v="2023-12-23T00:00:00"/>
    <x v="780"/>
    <x v="0"/>
    <x v="10"/>
    <x v="0"/>
    <n v="1"/>
    <n v="500"/>
    <x v="3"/>
  </r>
  <r>
    <x v="781"/>
    <d v="2023-06-04T00:00:00"/>
    <x v="781"/>
    <x v="0"/>
    <x v="42"/>
    <x v="1"/>
    <n v="3"/>
    <n v="300"/>
    <x v="12"/>
  </r>
  <r>
    <x v="782"/>
    <d v="2023-12-17T00:00:00"/>
    <x v="782"/>
    <x v="1"/>
    <x v="37"/>
    <x v="1"/>
    <n v="1"/>
    <n v="300"/>
    <x v="13"/>
  </r>
  <r>
    <x v="783"/>
    <d v="2023-11-04T00:00:00"/>
    <x v="783"/>
    <x v="1"/>
    <x v="0"/>
    <x v="2"/>
    <n v="1"/>
    <n v="500"/>
    <x v="3"/>
  </r>
  <r>
    <x v="784"/>
    <d v="2023-03-03T00:00:00"/>
    <x v="784"/>
    <x v="1"/>
    <x v="33"/>
    <x v="0"/>
    <n v="4"/>
    <n v="50"/>
    <x v="7"/>
  </r>
  <r>
    <x v="785"/>
    <d v="2023-10-17T00:00:00"/>
    <x v="785"/>
    <x v="0"/>
    <x v="27"/>
    <x v="1"/>
    <n v="4"/>
    <n v="25"/>
    <x v="4"/>
  </r>
  <r>
    <x v="786"/>
    <d v="2023-01-22T00:00:00"/>
    <x v="786"/>
    <x v="0"/>
    <x v="41"/>
    <x v="2"/>
    <n v="1"/>
    <n v="25"/>
    <x v="16"/>
  </r>
  <r>
    <x v="787"/>
    <d v="2023-06-27T00:00:00"/>
    <x v="787"/>
    <x v="1"/>
    <x v="8"/>
    <x v="0"/>
    <n v="3"/>
    <n v="300"/>
    <x v="12"/>
  </r>
  <r>
    <x v="788"/>
    <d v="2023-09-30T00:00:00"/>
    <x v="788"/>
    <x v="1"/>
    <x v="39"/>
    <x v="1"/>
    <n v="4"/>
    <n v="500"/>
    <x v="11"/>
  </r>
  <r>
    <x v="789"/>
    <d v="2023-08-08T00:00:00"/>
    <x v="789"/>
    <x v="0"/>
    <x v="17"/>
    <x v="1"/>
    <n v="1"/>
    <n v="25"/>
    <x v="16"/>
  </r>
  <r>
    <x v="790"/>
    <d v="2023-12-05T00:00:00"/>
    <x v="790"/>
    <x v="1"/>
    <x v="25"/>
    <x v="0"/>
    <n v="1"/>
    <n v="25"/>
    <x v="16"/>
  </r>
  <r>
    <x v="791"/>
    <d v="2023-07-09T00:00:00"/>
    <x v="791"/>
    <x v="1"/>
    <x v="29"/>
    <x v="0"/>
    <n v="1"/>
    <n v="50"/>
    <x v="5"/>
  </r>
  <r>
    <x v="792"/>
    <d v="2023-02-05T00:00:00"/>
    <x v="792"/>
    <x v="0"/>
    <x v="31"/>
    <x v="0"/>
    <n v="1"/>
    <n v="30"/>
    <x v="2"/>
  </r>
  <r>
    <x v="793"/>
    <d v="2023-09-17T00:00:00"/>
    <x v="793"/>
    <x v="1"/>
    <x v="43"/>
    <x v="0"/>
    <n v="1"/>
    <n v="300"/>
    <x v="13"/>
  </r>
  <r>
    <x v="794"/>
    <d v="2023-11-28T00:00:00"/>
    <x v="794"/>
    <x v="0"/>
    <x v="35"/>
    <x v="2"/>
    <n v="1"/>
    <n v="300"/>
    <x v="13"/>
  </r>
  <r>
    <x v="795"/>
    <d v="2023-06-24T00:00:00"/>
    <x v="795"/>
    <x v="0"/>
    <x v="22"/>
    <x v="0"/>
    <n v="4"/>
    <n v="30"/>
    <x v="10"/>
  </r>
  <r>
    <x v="796"/>
    <d v="2023-01-07T00:00:00"/>
    <x v="796"/>
    <x v="0"/>
    <x v="30"/>
    <x v="1"/>
    <n v="3"/>
    <n v="25"/>
    <x v="8"/>
  </r>
  <r>
    <x v="797"/>
    <d v="2023-08-04T00:00:00"/>
    <x v="797"/>
    <x v="0"/>
    <x v="39"/>
    <x v="1"/>
    <n v="1"/>
    <n v="50"/>
    <x v="5"/>
  </r>
  <r>
    <x v="798"/>
    <d v="2023-09-08T00:00:00"/>
    <x v="798"/>
    <x v="0"/>
    <x v="37"/>
    <x v="2"/>
    <n v="2"/>
    <n v="50"/>
    <x v="4"/>
  </r>
  <r>
    <x v="799"/>
    <d v="2023-02-24T00:00:00"/>
    <x v="799"/>
    <x v="0"/>
    <x v="40"/>
    <x v="1"/>
    <n v="4"/>
    <n v="300"/>
    <x v="14"/>
  </r>
  <r>
    <x v="800"/>
    <d v="2023-08-10T00:00:00"/>
    <x v="800"/>
    <x v="0"/>
    <x v="34"/>
    <x v="1"/>
    <n v="4"/>
    <n v="50"/>
    <x v="7"/>
  </r>
  <r>
    <x v="801"/>
    <d v="2023-07-05T00:00:00"/>
    <x v="801"/>
    <x v="1"/>
    <x v="6"/>
    <x v="0"/>
    <n v="1"/>
    <n v="30"/>
    <x v="2"/>
  </r>
  <r>
    <x v="802"/>
    <d v="2023-11-22T00:00:00"/>
    <x v="802"/>
    <x v="0"/>
    <x v="23"/>
    <x v="1"/>
    <n v="4"/>
    <n v="25"/>
    <x v="4"/>
  </r>
  <r>
    <x v="803"/>
    <d v="2023-08-24T00:00:00"/>
    <x v="803"/>
    <x v="0"/>
    <x v="13"/>
    <x v="2"/>
    <n v="1"/>
    <n v="30"/>
    <x v="2"/>
  </r>
  <r>
    <x v="804"/>
    <d v="2023-12-29T00:00:00"/>
    <x v="804"/>
    <x v="1"/>
    <x v="4"/>
    <x v="0"/>
    <n v="3"/>
    <n v="500"/>
    <x v="9"/>
  </r>
  <r>
    <x v="805"/>
    <d v="2023-03-20T00:00:00"/>
    <x v="805"/>
    <x v="1"/>
    <x v="10"/>
    <x v="0"/>
    <n v="3"/>
    <n v="300"/>
    <x v="12"/>
  </r>
  <r>
    <x v="806"/>
    <d v="2023-08-11T00:00:00"/>
    <x v="806"/>
    <x v="1"/>
    <x v="2"/>
    <x v="2"/>
    <n v="4"/>
    <n v="50"/>
    <x v="7"/>
  </r>
  <r>
    <x v="807"/>
    <d v="2023-04-01T00:00:00"/>
    <x v="807"/>
    <x v="0"/>
    <x v="44"/>
    <x v="0"/>
    <n v="4"/>
    <n v="500"/>
    <x v="11"/>
  </r>
  <r>
    <x v="808"/>
    <d v="2023-09-25T00:00:00"/>
    <x v="808"/>
    <x v="1"/>
    <x v="17"/>
    <x v="0"/>
    <n v="2"/>
    <n v="50"/>
    <x v="4"/>
  </r>
  <r>
    <x v="809"/>
    <d v="2023-11-30T00:00:00"/>
    <x v="809"/>
    <x v="0"/>
    <x v="42"/>
    <x v="2"/>
    <n v="4"/>
    <n v="25"/>
    <x v="4"/>
  </r>
  <r>
    <x v="810"/>
    <d v="2023-05-19T00:00:00"/>
    <x v="810"/>
    <x v="0"/>
    <x v="39"/>
    <x v="0"/>
    <n v="2"/>
    <n v="25"/>
    <x v="5"/>
  </r>
  <r>
    <x v="811"/>
    <d v="2023-11-12T00:00:00"/>
    <x v="811"/>
    <x v="0"/>
    <x v="14"/>
    <x v="2"/>
    <n v="3"/>
    <n v="25"/>
    <x v="8"/>
  </r>
  <r>
    <x v="812"/>
    <d v="2023-10-03T00:00:00"/>
    <x v="812"/>
    <x v="0"/>
    <x v="8"/>
    <x v="2"/>
    <n v="3"/>
    <n v="50"/>
    <x v="0"/>
  </r>
  <r>
    <x v="813"/>
    <d v="2023-09-05T00:00:00"/>
    <x v="813"/>
    <x v="1"/>
    <x v="42"/>
    <x v="1"/>
    <n v="1"/>
    <n v="500"/>
    <x v="3"/>
  </r>
  <r>
    <x v="814"/>
    <d v="2023-08-27T00:00:00"/>
    <x v="814"/>
    <x v="1"/>
    <x v="25"/>
    <x v="1"/>
    <n v="3"/>
    <n v="25"/>
    <x v="8"/>
  </r>
  <r>
    <x v="815"/>
    <d v="2023-08-12T00:00:00"/>
    <x v="815"/>
    <x v="0"/>
    <x v="16"/>
    <x v="0"/>
    <n v="2"/>
    <n v="500"/>
    <x v="1"/>
  </r>
  <r>
    <x v="816"/>
    <d v="2023-10-31T00:00:00"/>
    <x v="816"/>
    <x v="0"/>
    <x v="4"/>
    <x v="0"/>
    <n v="4"/>
    <n v="50"/>
    <x v="7"/>
  </r>
  <r>
    <x v="817"/>
    <d v="2023-05-18T00:00:00"/>
    <x v="817"/>
    <x v="0"/>
    <x v="4"/>
    <x v="2"/>
    <n v="1"/>
    <n v="500"/>
    <x v="3"/>
  </r>
  <r>
    <x v="818"/>
    <d v="2023-06-15T00:00:00"/>
    <x v="818"/>
    <x v="1"/>
    <x v="10"/>
    <x v="0"/>
    <n v="2"/>
    <n v="50"/>
    <x v="4"/>
  </r>
  <r>
    <x v="819"/>
    <d v="2023-05-06T00:00:00"/>
    <x v="819"/>
    <x v="0"/>
    <x v="19"/>
    <x v="2"/>
    <n v="4"/>
    <n v="50"/>
    <x v="7"/>
  </r>
  <r>
    <x v="820"/>
    <d v="2023-02-14T00:00:00"/>
    <x v="820"/>
    <x v="0"/>
    <x v="19"/>
    <x v="2"/>
    <n v="1"/>
    <n v="300"/>
    <x v="13"/>
  </r>
  <r>
    <x v="821"/>
    <d v="2023-05-23T00:00:00"/>
    <x v="821"/>
    <x v="1"/>
    <x v="8"/>
    <x v="0"/>
    <n v="3"/>
    <n v="50"/>
    <x v="0"/>
  </r>
  <r>
    <x v="822"/>
    <d v="2023-08-19T00:00:00"/>
    <x v="822"/>
    <x v="1"/>
    <x v="37"/>
    <x v="2"/>
    <n v="2"/>
    <n v="50"/>
    <x v="4"/>
  </r>
  <r>
    <x v="823"/>
    <d v="2023-05-05T00:00:00"/>
    <x v="823"/>
    <x v="0"/>
    <x v="7"/>
    <x v="1"/>
    <n v="4"/>
    <n v="30"/>
    <x v="10"/>
  </r>
  <r>
    <x v="824"/>
    <d v="2023-08-26T00:00:00"/>
    <x v="824"/>
    <x v="1"/>
    <x v="6"/>
    <x v="0"/>
    <n v="1"/>
    <n v="25"/>
    <x v="16"/>
  </r>
  <r>
    <x v="825"/>
    <d v="2023-10-19T00:00:00"/>
    <x v="825"/>
    <x v="1"/>
    <x v="6"/>
    <x v="1"/>
    <n v="1"/>
    <n v="300"/>
    <x v="13"/>
  </r>
  <r>
    <x v="826"/>
    <d v="2023-11-09T00:00:00"/>
    <x v="826"/>
    <x v="0"/>
    <x v="39"/>
    <x v="0"/>
    <n v="3"/>
    <n v="300"/>
    <x v="12"/>
  </r>
  <r>
    <x v="827"/>
    <d v="2023-12-09T00:00:00"/>
    <x v="827"/>
    <x v="1"/>
    <x v="44"/>
    <x v="2"/>
    <n v="4"/>
    <n v="300"/>
    <x v="14"/>
  </r>
  <r>
    <x v="828"/>
    <d v="2023-07-14T00:00:00"/>
    <x v="828"/>
    <x v="0"/>
    <x v="39"/>
    <x v="0"/>
    <n v="3"/>
    <n v="30"/>
    <x v="15"/>
  </r>
  <r>
    <x v="829"/>
    <d v="2023-06-22T00:00:00"/>
    <x v="829"/>
    <x v="1"/>
    <x v="12"/>
    <x v="1"/>
    <n v="3"/>
    <n v="50"/>
    <x v="0"/>
  </r>
  <r>
    <x v="830"/>
    <d v="2023-01-15T00:00:00"/>
    <x v="830"/>
    <x v="0"/>
    <x v="15"/>
    <x v="2"/>
    <n v="4"/>
    <n v="25"/>
    <x v="4"/>
  </r>
  <r>
    <x v="831"/>
    <d v="2023-09-11T00:00:00"/>
    <x v="831"/>
    <x v="0"/>
    <x v="16"/>
    <x v="0"/>
    <n v="4"/>
    <n v="500"/>
    <x v="11"/>
  </r>
  <r>
    <x v="832"/>
    <d v="2023-06-16T00:00:00"/>
    <x v="832"/>
    <x v="0"/>
    <x v="13"/>
    <x v="0"/>
    <n v="4"/>
    <n v="50"/>
    <x v="7"/>
  </r>
  <r>
    <x v="833"/>
    <d v="2023-04-04T00:00:00"/>
    <x v="833"/>
    <x v="1"/>
    <x v="37"/>
    <x v="0"/>
    <n v="2"/>
    <n v="30"/>
    <x v="17"/>
  </r>
  <r>
    <x v="834"/>
    <d v="2023-09-07T00:00:00"/>
    <x v="834"/>
    <x v="0"/>
    <x v="3"/>
    <x v="1"/>
    <n v="4"/>
    <n v="50"/>
    <x v="7"/>
  </r>
  <r>
    <x v="835"/>
    <d v="2023-04-19T00:00:00"/>
    <x v="835"/>
    <x v="1"/>
    <x v="11"/>
    <x v="1"/>
    <n v="1"/>
    <n v="50"/>
    <x v="5"/>
  </r>
  <r>
    <x v="836"/>
    <d v="2023-07-01T00:00:00"/>
    <x v="836"/>
    <x v="0"/>
    <x v="18"/>
    <x v="0"/>
    <n v="3"/>
    <n v="30"/>
    <x v="15"/>
  </r>
  <r>
    <x v="837"/>
    <d v="2023-05-13T00:00:00"/>
    <x v="837"/>
    <x v="0"/>
    <x v="16"/>
    <x v="2"/>
    <n v="2"/>
    <n v="300"/>
    <x v="6"/>
  </r>
  <r>
    <x v="838"/>
    <d v="2023-06-24T00:00:00"/>
    <x v="838"/>
    <x v="1"/>
    <x v="29"/>
    <x v="2"/>
    <n v="4"/>
    <n v="300"/>
    <x v="14"/>
  </r>
  <r>
    <x v="839"/>
    <d v="2023-05-24T00:00:00"/>
    <x v="839"/>
    <x v="0"/>
    <x v="17"/>
    <x v="1"/>
    <n v="2"/>
    <n v="25"/>
    <x v="5"/>
  </r>
  <r>
    <x v="840"/>
    <d v="2023-11-02T00:00:00"/>
    <x v="840"/>
    <x v="0"/>
    <x v="33"/>
    <x v="2"/>
    <n v="4"/>
    <n v="25"/>
    <x v="4"/>
  </r>
  <r>
    <x v="841"/>
    <d v="2023-12-26T00:00:00"/>
    <x v="841"/>
    <x v="1"/>
    <x v="16"/>
    <x v="1"/>
    <n v="2"/>
    <n v="300"/>
    <x v="6"/>
  </r>
  <r>
    <x v="842"/>
    <d v="2023-05-22T00:00:00"/>
    <x v="842"/>
    <x v="0"/>
    <x v="34"/>
    <x v="0"/>
    <n v="3"/>
    <n v="500"/>
    <x v="9"/>
  </r>
  <r>
    <x v="843"/>
    <d v="2023-10-12T00:00:00"/>
    <x v="843"/>
    <x v="0"/>
    <x v="10"/>
    <x v="1"/>
    <n v="3"/>
    <n v="50"/>
    <x v="0"/>
  </r>
  <r>
    <x v="844"/>
    <d v="2023-01-06T00:00:00"/>
    <x v="844"/>
    <x v="0"/>
    <x v="31"/>
    <x v="1"/>
    <n v="1"/>
    <n v="500"/>
    <x v="3"/>
  </r>
  <r>
    <x v="845"/>
    <d v="2023-09-22T00:00:00"/>
    <x v="845"/>
    <x v="0"/>
    <x v="13"/>
    <x v="0"/>
    <n v="1"/>
    <n v="50"/>
    <x v="5"/>
  </r>
  <r>
    <x v="846"/>
    <d v="2023-04-08T00:00:00"/>
    <x v="846"/>
    <x v="1"/>
    <x v="18"/>
    <x v="2"/>
    <n v="4"/>
    <n v="300"/>
    <x v="14"/>
  </r>
  <r>
    <x v="847"/>
    <d v="2023-02-13T00:00:00"/>
    <x v="847"/>
    <x v="1"/>
    <x v="7"/>
    <x v="1"/>
    <n v="3"/>
    <n v="25"/>
    <x v="8"/>
  </r>
  <r>
    <x v="848"/>
    <d v="2023-05-04T00:00:00"/>
    <x v="848"/>
    <x v="0"/>
    <x v="40"/>
    <x v="1"/>
    <n v="2"/>
    <n v="25"/>
    <x v="5"/>
  </r>
  <r>
    <x v="849"/>
    <d v="2023-07-28T00:00:00"/>
    <x v="849"/>
    <x v="1"/>
    <x v="1"/>
    <x v="0"/>
    <n v="2"/>
    <n v="500"/>
    <x v="1"/>
  </r>
  <r>
    <x v="850"/>
    <d v="2023-09-08T00:00:00"/>
    <x v="850"/>
    <x v="0"/>
    <x v="40"/>
    <x v="2"/>
    <n v="2"/>
    <n v="25"/>
    <x v="5"/>
  </r>
  <r>
    <x v="851"/>
    <d v="2023-10-12T00:00:00"/>
    <x v="851"/>
    <x v="1"/>
    <x v="41"/>
    <x v="1"/>
    <n v="1"/>
    <n v="300"/>
    <x v="13"/>
  </r>
  <r>
    <x v="852"/>
    <d v="2023-05-04T00:00:00"/>
    <x v="852"/>
    <x v="0"/>
    <x v="34"/>
    <x v="0"/>
    <n v="2"/>
    <n v="500"/>
    <x v="1"/>
  </r>
  <r>
    <x v="853"/>
    <d v="2023-12-20T00:00:00"/>
    <x v="853"/>
    <x v="0"/>
    <x v="38"/>
    <x v="1"/>
    <n v="1"/>
    <n v="50"/>
    <x v="5"/>
  </r>
  <r>
    <x v="854"/>
    <d v="2023-09-01T00:00:00"/>
    <x v="854"/>
    <x v="0"/>
    <x v="31"/>
    <x v="0"/>
    <n v="1"/>
    <n v="25"/>
    <x v="16"/>
  </r>
  <r>
    <x v="855"/>
    <d v="2023-11-27T00:00:00"/>
    <x v="855"/>
    <x v="0"/>
    <x v="31"/>
    <x v="2"/>
    <n v="4"/>
    <n v="30"/>
    <x v="10"/>
  </r>
  <r>
    <x v="856"/>
    <d v="2023-12-31T00:00:00"/>
    <x v="856"/>
    <x v="0"/>
    <x v="43"/>
    <x v="2"/>
    <n v="2"/>
    <n v="25"/>
    <x v="5"/>
  </r>
  <r>
    <x v="857"/>
    <d v="2023-09-09T00:00:00"/>
    <x v="857"/>
    <x v="0"/>
    <x v="9"/>
    <x v="2"/>
    <n v="2"/>
    <n v="50"/>
    <x v="4"/>
  </r>
  <r>
    <x v="858"/>
    <d v="2023-08-18T00:00:00"/>
    <x v="858"/>
    <x v="1"/>
    <x v="37"/>
    <x v="2"/>
    <n v="3"/>
    <n v="500"/>
    <x v="9"/>
  </r>
  <r>
    <x v="859"/>
    <d v="2023-01-09T00:00:00"/>
    <x v="859"/>
    <x v="0"/>
    <x v="7"/>
    <x v="1"/>
    <n v="4"/>
    <n v="50"/>
    <x v="7"/>
  </r>
  <r>
    <x v="860"/>
    <d v="2023-02-17T00:00:00"/>
    <x v="860"/>
    <x v="1"/>
    <x v="41"/>
    <x v="1"/>
    <n v="3"/>
    <n v="30"/>
    <x v="15"/>
  </r>
  <r>
    <x v="861"/>
    <d v="2023-05-31T00:00:00"/>
    <x v="861"/>
    <x v="0"/>
    <x v="20"/>
    <x v="2"/>
    <n v="4"/>
    <n v="300"/>
    <x v="14"/>
  </r>
  <r>
    <x v="862"/>
    <d v="2023-04-24T00:00:00"/>
    <x v="862"/>
    <x v="1"/>
    <x v="4"/>
    <x v="2"/>
    <n v="2"/>
    <n v="25"/>
    <x v="5"/>
  </r>
  <r>
    <x v="863"/>
    <d v="2023-07-27T00:00:00"/>
    <x v="863"/>
    <x v="1"/>
    <x v="25"/>
    <x v="2"/>
    <n v="1"/>
    <n v="500"/>
    <x v="3"/>
  </r>
  <r>
    <x v="864"/>
    <d v="2023-12-21T00:00:00"/>
    <x v="864"/>
    <x v="1"/>
    <x v="13"/>
    <x v="1"/>
    <n v="1"/>
    <n v="300"/>
    <x v="13"/>
  </r>
  <r>
    <x v="865"/>
    <d v="2023-05-05T00:00:00"/>
    <x v="865"/>
    <x v="0"/>
    <x v="46"/>
    <x v="2"/>
    <n v="1"/>
    <n v="50"/>
    <x v="5"/>
  </r>
  <r>
    <x v="866"/>
    <d v="2023-06-06T00:00:00"/>
    <x v="866"/>
    <x v="0"/>
    <x v="34"/>
    <x v="2"/>
    <n v="1"/>
    <n v="500"/>
    <x v="3"/>
  </r>
  <r>
    <x v="867"/>
    <d v="2023-12-06T00:00:00"/>
    <x v="867"/>
    <x v="1"/>
    <x v="36"/>
    <x v="2"/>
    <n v="1"/>
    <n v="300"/>
    <x v="13"/>
  </r>
  <r>
    <x v="868"/>
    <d v="2023-10-25T00:00:00"/>
    <x v="868"/>
    <x v="0"/>
    <x v="3"/>
    <x v="0"/>
    <n v="3"/>
    <n v="500"/>
    <x v="9"/>
  </r>
  <r>
    <x v="869"/>
    <d v="2023-07-08T00:00:00"/>
    <x v="869"/>
    <x v="1"/>
    <x v="6"/>
    <x v="2"/>
    <n v="4"/>
    <n v="30"/>
    <x v="10"/>
  </r>
  <r>
    <x v="870"/>
    <d v="2023-08-31T00:00:00"/>
    <x v="870"/>
    <x v="0"/>
    <x v="17"/>
    <x v="0"/>
    <n v="2"/>
    <n v="30"/>
    <x v="17"/>
  </r>
  <r>
    <x v="871"/>
    <d v="2023-10-11T00:00:00"/>
    <x v="871"/>
    <x v="1"/>
    <x v="7"/>
    <x v="0"/>
    <n v="3"/>
    <n v="25"/>
    <x v="8"/>
  </r>
  <r>
    <x v="872"/>
    <d v="2023-09-29T00:00:00"/>
    <x v="872"/>
    <x v="1"/>
    <x v="15"/>
    <x v="2"/>
    <n v="4"/>
    <n v="25"/>
    <x v="4"/>
  </r>
  <r>
    <x v="873"/>
    <d v="2023-06-26T00:00:00"/>
    <x v="873"/>
    <x v="0"/>
    <x v="43"/>
    <x v="0"/>
    <n v="1"/>
    <n v="30"/>
    <x v="2"/>
  </r>
  <r>
    <x v="874"/>
    <d v="2023-08-06T00:00:00"/>
    <x v="874"/>
    <x v="1"/>
    <x v="25"/>
    <x v="2"/>
    <n v="4"/>
    <n v="500"/>
    <x v="11"/>
  </r>
  <r>
    <x v="875"/>
    <d v="2023-10-09T00:00:00"/>
    <x v="875"/>
    <x v="0"/>
    <x v="22"/>
    <x v="1"/>
    <n v="4"/>
    <n v="30"/>
    <x v="10"/>
  </r>
  <r>
    <x v="876"/>
    <d v="2023-06-19T00:00:00"/>
    <x v="876"/>
    <x v="1"/>
    <x v="26"/>
    <x v="1"/>
    <n v="1"/>
    <n v="25"/>
    <x v="16"/>
  </r>
  <r>
    <x v="877"/>
    <d v="2023-06-30T00:00:00"/>
    <x v="877"/>
    <x v="1"/>
    <x v="29"/>
    <x v="1"/>
    <n v="1"/>
    <n v="30"/>
    <x v="2"/>
  </r>
  <r>
    <x v="878"/>
    <d v="2023-12-26T00:00:00"/>
    <x v="878"/>
    <x v="0"/>
    <x v="9"/>
    <x v="1"/>
    <n v="1"/>
    <n v="30"/>
    <x v="2"/>
  </r>
  <r>
    <x v="879"/>
    <d v="2023-08-21T00:00:00"/>
    <x v="879"/>
    <x v="0"/>
    <x v="11"/>
    <x v="0"/>
    <n v="2"/>
    <n v="500"/>
    <x v="1"/>
  </r>
  <r>
    <x v="880"/>
    <d v="2023-05-19T00:00:00"/>
    <x v="880"/>
    <x v="0"/>
    <x v="11"/>
    <x v="2"/>
    <n v="1"/>
    <n v="300"/>
    <x v="13"/>
  </r>
  <r>
    <x v="881"/>
    <d v="2023-06-06T00:00:00"/>
    <x v="881"/>
    <x v="1"/>
    <x v="12"/>
    <x v="2"/>
    <n v="2"/>
    <n v="25"/>
    <x v="5"/>
  </r>
  <r>
    <x v="882"/>
    <d v="2023-05-09T00:00:00"/>
    <x v="882"/>
    <x v="0"/>
    <x v="30"/>
    <x v="2"/>
    <n v="1"/>
    <n v="500"/>
    <x v="3"/>
  </r>
  <r>
    <x v="883"/>
    <d v="2023-04-29T00:00:00"/>
    <x v="883"/>
    <x v="1"/>
    <x v="1"/>
    <x v="1"/>
    <n v="2"/>
    <n v="30"/>
    <x v="17"/>
  </r>
  <r>
    <x v="884"/>
    <d v="2023-03-03T00:00:00"/>
    <x v="884"/>
    <x v="1"/>
    <x v="8"/>
    <x v="1"/>
    <n v="4"/>
    <n v="30"/>
    <x v="10"/>
  </r>
  <r>
    <x v="885"/>
    <d v="2023-04-09T00:00:00"/>
    <x v="885"/>
    <x v="0"/>
    <x v="3"/>
    <x v="2"/>
    <n v="3"/>
    <n v="300"/>
    <x v="12"/>
  </r>
  <r>
    <x v="886"/>
    <d v="2023-06-11T00:00:00"/>
    <x v="886"/>
    <x v="0"/>
    <x v="42"/>
    <x v="1"/>
    <n v="4"/>
    <n v="25"/>
    <x v="4"/>
  </r>
  <r>
    <x v="887"/>
    <d v="2023-03-03T00:00:00"/>
    <x v="887"/>
    <x v="1"/>
    <x v="8"/>
    <x v="2"/>
    <n v="4"/>
    <n v="25"/>
    <x v="4"/>
  </r>
  <r>
    <x v="888"/>
    <d v="2023-10-02T00:00:00"/>
    <x v="888"/>
    <x v="1"/>
    <x v="10"/>
    <x v="2"/>
    <n v="1"/>
    <n v="50"/>
    <x v="5"/>
  </r>
  <r>
    <x v="889"/>
    <d v="2023-12-20T00:00:00"/>
    <x v="889"/>
    <x v="0"/>
    <x v="0"/>
    <x v="2"/>
    <n v="2"/>
    <n v="25"/>
    <x v="5"/>
  </r>
  <r>
    <x v="890"/>
    <d v="2023-04-05T00:00:00"/>
    <x v="890"/>
    <x v="0"/>
    <x v="41"/>
    <x v="2"/>
    <n v="3"/>
    <n v="300"/>
    <x v="12"/>
  </r>
  <r>
    <x v="891"/>
    <d v="2023-04-09T00:00:00"/>
    <x v="891"/>
    <x v="0"/>
    <x v="29"/>
    <x v="2"/>
    <n v="1"/>
    <n v="50"/>
    <x v="5"/>
  </r>
  <r>
    <x v="892"/>
    <d v="2023-04-21T00:00:00"/>
    <x v="892"/>
    <x v="0"/>
    <x v="19"/>
    <x v="2"/>
    <n v="1"/>
    <n v="50"/>
    <x v="5"/>
  </r>
  <r>
    <x v="893"/>
    <d v="2023-09-05T00:00:00"/>
    <x v="893"/>
    <x v="0"/>
    <x v="8"/>
    <x v="2"/>
    <n v="1"/>
    <n v="30"/>
    <x v="2"/>
  </r>
  <r>
    <x v="894"/>
    <d v="2023-05-22T00:00:00"/>
    <x v="894"/>
    <x v="1"/>
    <x v="28"/>
    <x v="1"/>
    <n v="4"/>
    <n v="30"/>
    <x v="10"/>
  </r>
  <r>
    <x v="895"/>
    <d v="2023-10-29T00:00:00"/>
    <x v="895"/>
    <x v="1"/>
    <x v="4"/>
    <x v="2"/>
    <n v="2"/>
    <n v="25"/>
    <x v="5"/>
  </r>
  <r>
    <x v="896"/>
    <d v="2023-09-26T00:00:00"/>
    <x v="896"/>
    <x v="1"/>
    <x v="12"/>
    <x v="2"/>
    <n v="2"/>
    <n v="50"/>
    <x v="4"/>
  </r>
  <r>
    <x v="897"/>
    <d v="2023-11-02T00:00:00"/>
    <x v="897"/>
    <x v="1"/>
    <x v="13"/>
    <x v="1"/>
    <n v="3"/>
    <n v="30"/>
    <x v="15"/>
  </r>
  <r>
    <x v="898"/>
    <d v="2023-05-25T00:00:00"/>
    <x v="898"/>
    <x v="0"/>
    <x v="1"/>
    <x v="1"/>
    <n v="2"/>
    <n v="300"/>
    <x v="6"/>
  </r>
  <r>
    <x v="899"/>
    <d v="2023-02-21T00:00:00"/>
    <x v="899"/>
    <x v="0"/>
    <x v="34"/>
    <x v="1"/>
    <n v="2"/>
    <n v="30"/>
    <x v="17"/>
  </r>
  <r>
    <x v="900"/>
    <d v="2023-04-10T00:00:00"/>
    <x v="900"/>
    <x v="0"/>
    <x v="33"/>
    <x v="2"/>
    <n v="1"/>
    <n v="30"/>
    <x v="2"/>
  </r>
  <r>
    <x v="901"/>
    <d v="2023-06-01T00:00:00"/>
    <x v="901"/>
    <x v="1"/>
    <x v="31"/>
    <x v="0"/>
    <n v="1"/>
    <n v="50"/>
    <x v="5"/>
  </r>
  <r>
    <x v="902"/>
    <d v="2023-04-27T00:00:00"/>
    <x v="902"/>
    <x v="1"/>
    <x v="25"/>
    <x v="0"/>
    <n v="4"/>
    <n v="50"/>
    <x v="7"/>
  </r>
  <r>
    <x v="903"/>
    <d v="2023-07-04T00:00:00"/>
    <x v="903"/>
    <x v="0"/>
    <x v="20"/>
    <x v="1"/>
    <n v="1"/>
    <n v="500"/>
    <x v="3"/>
  </r>
  <r>
    <x v="904"/>
    <d v="2023-04-02T00:00:00"/>
    <x v="904"/>
    <x v="0"/>
    <x v="26"/>
    <x v="0"/>
    <n v="1"/>
    <n v="300"/>
    <x v="13"/>
  </r>
  <r>
    <x v="905"/>
    <d v="2023-06-04T00:00:00"/>
    <x v="905"/>
    <x v="1"/>
    <x v="29"/>
    <x v="1"/>
    <n v="1"/>
    <n v="50"/>
    <x v="5"/>
  </r>
  <r>
    <x v="906"/>
    <d v="2023-01-08T00:00:00"/>
    <x v="906"/>
    <x v="1"/>
    <x v="5"/>
    <x v="2"/>
    <n v="1"/>
    <n v="25"/>
    <x v="16"/>
  </r>
  <r>
    <x v="907"/>
    <d v="2023-12-29T00:00:00"/>
    <x v="907"/>
    <x v="0"/>
    <x v="6"/>
    <x v="0"/>
    <n v="4"/>
    <n v="300"/>
    <x v="14"/>
  </r>
  <r>
    <x v="908"/>
    <d v="2023-10-01T00:00:00"/>
    <x v="908"/>
    <x v="0"/>
    <x v="1"/>
    <x v="2"/>
    <n v="1"/>
    <n v="300"/>
    <x v="13"/>
  </r>
  <r>
    <x v="909"/>
    <d v="2023-03-06T00:00:00"/>
    <x v="909"/>
    <x v="1"/>
    <x v="29"/>
    <x v="0"/>
    <n v="3"/>
    <n v="50"/>
    <x v="0"/>
  </r>
  <r>
    <x v="910"/>
    <d v="2023-05-21T00:00:00"/>
    <x v="910"/>
    <x v="0"/>
    <x v="13"/>
    <x v="2"/>
    <n v="3"/>
    <n v="300"/>
    <x v="12"/>
  </r>
  <r>
    <x v="911"/>
    <d v="2023-01-24T00:00:00"/>
    <x v="911"/>
    <x v="0"/>
    <x v="25"/>
    <x v="0"/>
    <n v="3"/>
    <n v="50"/>
    <x v="0"/>
  </r>
  <r>
    <x v="912"/>
    <d v="2023-01-28T00:00:00"/>
    <x v="912"/>
    <x v="0"/>
    <x v="38"/>
    <x v="2"/>
    <n v="3"/>
    <n v="30"/>
    <x v="15"/>
  </r>
  <r>
    <x v="913"/>
    <d v="2023-10-11T00:00:00"/>
    <x v="913"/>
    <x v="1"/>
    <x v="42"/>
    <x v="2"/>
    <n v="1"/>
    <n v="500"/>
    <x v="3"/>
  </r>
  <r>
    <x v="914"/>
    <d v="2023-05-30T00:00:00"/>
    <x v="914"/>
    <x v="1"/>
    <x v="1"/>
    <x v="0"/>
    <n v="3"/>
    <n v="30"/>
    <x v="15"/>
  </r>
  <r>
    <x v="915"/>
    <d v="2023-12-24T00:00:00"/>
    <x v="915"/>
    <x v="1"/>
    <x v="40"/>
    <x v="2"/>
    <n v="1"/>
    <n v="50"/>
    <x v="5"/>
  </r>
  <r>
    <x v="916"/>
    <d v="2023-03-06T00:00:00"/>
    <x v="916"/>
    <x v="1"/>
    <x v="35"/>
    <x v="2"/>
    <n v="4"/>
    <n v="50"/>
    <x v="7"/>
  </r>
  <r>
    <x v="917"/>
    <d v="2023-11-23T00:00:00"/>
    <x v="917"/>
    <x v="1"/>
    <x v="13"/>
    <x v="2"/>
    <n v="3"/>
    <n v="30"/>
    <x v="15"/>
  </r>
  <r>
    <x v="918"/>
    <d v="2023-09-09T00:00:00"/>
    <x v="918"/>
    <x v="1"/>
    <x v="11"/>
    <x v="0"/>
    <n v="2"/>
    <n v="25"/>
    <x v="5"/>
  </r>
  <r>
    <x v="919"/>
    <d v="2023-02-22T00:00:00"/>
    <x v="919"/>
    <x v="1"/>
    <x v="20"/>
    <x v="0"/>
    <n v="3"/>
    <n v="25"/>
    <x v="8"/>
  </r>
  <r>
    <x v="920"/>
    <d v="2023-01-07T00:00:00"/>
    <x v="920"/>
    <x v="0"/>
    <x v="25"/>
    <x v="2"/>
    <n v="3"/>
    <n v="25"/>
    <x v="8"/>
  </r>
  <r>
    <x v="921"/>
    <d v="2023-10-21T00:00:00"/>
    <x v="921"/>
    <x v="0"/>
    <x v="41"/>
    <x v="2"/>
    <n v="1"/>
    <n v="50"/>
    <x v="5"/>
  </r>
  <r>
    <x v="922"/>
    <d v="2023-05-26T00:00:00"/>
    <x v="922"/>
    <x v="0"/>
    <x v="40"/>
    <x v="0"/>
    <n v="3"/>
    <n v="300"/>
    <x v="12"/>
  </r>
  <r>
    <x v="923"/>
    <d v="2023-08-29T00:00:00"/>
    <x v="923"/>
    <x v="0"/>
    <x v="28"/>
    <x v="0"/>
    <n v="2"/>
    <n v="50"/>
    <x v="4"/>
  </r>
  <r>
    <x v="924"/>
    <d v="2023-09-03T00:00:00"/>
    <x v="924"/>
    <x v="0"/>
    <x v="36"/>
    <x v="2"/>
    <n v="1"/>
    <n v="300"/>
    <x v="13"/>
  </r>
  <r>
    <x v="925"/>
    <d v="2023-08-14T00:00:00"/>
    <x v="925"/>
    <x v="0"/>
    <x v="11"/>
    <x v="2"/>
    <n v="1"/>
    <n v="30"/>
    <x v="2"/>
  </r>
  <r>
    <x v="926"/>
    <d v="2023-06-24T00:00:00"/>
    <x v="926"/>
    <x v="0"/>
    <x v="22"/>
    <x v="2"/>
    <n v="4"/>
    <n v="500"/>
    <x v="11"/>
  </r>
  <r>
    <x v="927"/>
    <d v="2023-04-05T00:00:00"/>
    <x v="927"/>
    <x v="1"/>
    <x v="10"/>
    <x v="1"/>
    <n v="4"/>
    <n v="300"/>
    <x v="14"/>
  </r>
  <r>
    <x v="928"/>
    <d v="2023-01-27T00:00:00"/>
    <x v="928"/>
    <x v="1"/>
    <x v="9"/>
    <x v="0"/>
    <n v="3"/>
    <n v="25"/>
    <x v="8"/>
  </r>
  <r>
    <x v="929"/>
    <d v="2023-05-10T00:00:00"/>
    <x v="929"/>
    <x v="0"/>
    <x v="31"/>
    <x v="1"/>
    <n v="4"/>
    <n v="50"/>
    <x v="7"/>
  </r>
  <r>
    <x v="930"/>
    <d v="2023-09-02T00:00:00"/>
    <x v="930"/>
    <x v="0"/>
    <x v="4"/>
    <x v="0"/>
    <n v="4"/>
    <n v="30"/>
    <x v="10"/>
  </r>
  <r>
    <x v="931"/>
    <d v="2023-02-28T00:00:00"/>
    <x v="931"/>
    <x v="1"/>
    <x v="5"/>
    <x v="0"/>
    <n v="4"/>
    <n v="25"/>
    <x v="4"/>
  </r>
  <r>
    <x v="932"/>
    <d v="2023-02-03T00:00:00"/>
    <x v="932"/>
    <x v="0"/>
    <x v="11"/>
    <x v="0"/>
    <n v="1"/>
    <n v="30"/>
    <x v="2"/>
  </r>
  <r>
    <x v="933"/>
    <d v="2023-07-25T00:00:00"/>
    <x v="933"/>
    <x v="0"/>
    <x v="4"/>
    <x v="0"/>
    <n v="1"/>
    <n v="500"/>
    <x v="3"/>
  </r>
  <r>
    <x v="934"/>
    <d v="2023-09-09T00:00:00"/>
    <x v="934"/>
    <x v="1"/>
    <x v="0"/>
    <x v="0"/>
    <n v="1"/>
    <n v="50"/>
    <x v="5"/>
  </r>
  <r>
    <x v="935"/>
    <d v="2023-02-07T00:00:00"/>
    <x v="935"/>
    <x v="0"/>
    <x v="35"/>
    <x v="0"/>
    <n v="4"/>
    <n v="50"/>
    <x v="7"/>
  </r>
  <r>
    <x v="936"/>
    <d v="2023-10-23T00:00:00"/>
    <x v="936"/>
    <x v="1"/>
    <x v="17"/>
    <x v="0"/>
    <n v="1"/>
    <n v="500"/>
    <x v="3"/>
  </r>
  <r>
    <x v="937"/>
    <d v="2023-11-19T00:00:00"/>
    <x v="937"/>
    <x v="0"/>
    <x v="19"/>
    <x v="1"/>
    <n v="4"/>
    <n v="50"/>
    <x v="7"/>
  </r>
  <r>
    <x v="938"/>
    <d v="2023-12-18T00:00:00"/>
    <x v="938"/>
    <x v="1"/>
    <x v="6"/>
    <x v="2"/>
    <n v="1"/>
    <n v="300"/>
    <x v="13"/>
  </r>
  <r>
    <x v="939"/>
    <d v="2023-01-28T00:00:00"/>
    <x v="939"/>
    <x v="1"/>
    <x v="29"/>
    <x v="2"/>
    <n v="1"/>
    <n v="30"/>
    <x v="2"/>
  </r>
  <r>
    <x v="940"/>
    <d v="2023-03-19T00:00:00"/>
    <x v="940"/>
    <x v="1"/>
    <x v="35"/>
    <x v="1"/>
    <n v="2"/>
    <n v="25"/>
    <x v="5"/>
  </r>
  <r>
    <x v="941"/>
    <d v="2023-03-18T00:00:00"/>
    <x v="941"/>
    <x v="0"/>
    <x v="25"/>
    <x v="1"/>
    <n v="3"/>
    <n v="500"/>
    <x v="9"/>
  </r>
  <r>
    <x v="942"/>
    <d v="2023-10-16T00:00:00"/>
    <x v="942"/>
    <x v="1"/>
    <x v="35"/>
    <x v="1"/>
    <n v="4"/>
    <n v="300"/>
    <x v="14"/>
  </r>
  <r>
    <x v="943"/>
    <d v="2023-06-05T00:00:00"/>
    <x v="943"/>
    <x v="0"/>
    <x v="24"/>
    <x v="1"/>
    <n v="2"/>
    <n v="25"/>
    <x v="5"/>
  </r>
  <r>
    <x v="944"/>
    <d v="2023-02-13T00:00:00"/>
    <x v="944"/>
    <x v="0"/>
    <x v="4"/>
    <x v="0"/>
    <n v="1"/>
    <n v="25"/>
    <x v="16"/>
  </r>
  <r>
    <x v="945"/>
    <d v="2023-05-08T00:00:00"/>
    <x v="945"/>
    <x v="0"/>
    <x v="17"/>
    <x v="2"/>
    <n v="4"/>
    <n v="500"/>
    <x v="11"/>
  </r>
  <r>
    <x v="946"/>
    <d v="2023-03-02T00:00:00"/>
    <x v="946"/>
    <x v="0"/>
    <x v="2"/>
    <x v="0"/>
    <n v="1"/>
    <n v="300"/>
    <x v="13"/>
  </r>
  <r>
    <x v="947"/>
    <d v="2023-10-13T00:00:00"/>
    <x v="947"/>
    <x v="1"/>
    <x v="9"/>
    <x v="2"/>
    <n v="3"/>
    <n v="25"/>
    <x v="8"/>
  </r>
  <r>
    <x v="948"/>
    <d v="2023-08-02T00:00:00"/>
    <x v="948"/>
    <x v="1"/>
    <x v="41"/>
    <x v="2"/>
    <n v="2"/>
    <n v="25"/>
    <x v="5"/>
  </r>
  <r>
    <x v="949"/>
    <d v="2023-11-07T00:00:00"/>
    <x v="949"/>
    <x v="0"/>
    <x v="32"/>
    <x v="1"/>
    <n v="3"/>
    <n v="300"/>
    <x v="12"/>
  </r>
  <r>
    <x v="950"/>
    <d v="2023-11-02T00:00:00"/>
    <x v="950"/>
    <x v="0"/>
    <x v="44"/>
    <x v="0"/>
    <n v="2"/>
    <n v="50"/>
    <x v="4"/>
  </r>
  <r>
    <x v="951"/>
    <d v="2023-11-13T00:00:00"/>
    <x v="951"/>
    <x v="1"/>
    <x v="35"/>
    <x v="1"/>
    <n v="1"/>
    <n v="25"/>
    <x v="16"/>
  </r>
  <r>
    <x v="952"/>
    <d v="2023-04-26T00:00:00"/>
    <x v="952"/>
    <x v="0"/>
    <x v="5"/>
    <x v="0"/>
    <n v="3"/>
    <n v="30"/>
    <x v="15"/>
  </r>
  <r>
    <x v="953"/>
    <d v="2023-09-25T00:00:00"/>
    <x v="953"/>
    <x v="1"/>
    <x v="2"/>
    <x v="2"/>
    <n v="3"/>
    <n v="300"/>
    <x v="12"/>
  </r>
  <r>
    <x v="954"/>
    <d v="2023-07-14T00:00:00"/>
    <x v="954"/>
    <x v="0"/>
    <x v="26"/>
    <x v="1"/>
    <n v="1"/>
    <n v="25"/>
    <x v="16"/>
  </r>
  <r>
    <x v="955"/>
    <d v="2023-08-19T00:00:00"/>
    <x v="955"/>
    <x v="0"/>
    <x v="4"/>
    <x v="1"/>
    <n v="3"/>
    <n v="500"/>
    <x v="9"/>
  </r>
  <r>
    <x v="956"/>
    <d v="2023-08-15T00:00:00"/>
    <x v="956"/>
    <x v="1"/>
    <x v="43"/>
    <x v="2"/>
    <n v="4"/>
    <n v="30"/>
    <x v="10"/>
  </r>
  <r>
    <x v="957"/>
    <d v="2023-06-02T00:00:00"/>
    <x v="957"/>
    <x v="0"/>
    <x v="17"/>
    <x v="2"/>
    <n v="2"/>
    <n v="25"/>
    <x v="5"/>
  </r>
  <r>
    <x v="958"/>
    <d v="2023-10-29T00:00:00"/>
    <x v="958"/>
    <x v="1"/>
    <x v="13"/>
    <x v="2"/>
    <n v="2"/>
    <n v="30"/>
    <x v="17"/>
  </r>
  <r>
    <x v="959"/>
    <d v="2023-08-08T00:00:00"/>
    <x v="959"/>
    <x v="0"/>
    <x v="42"/>
    <x v="1"/>
    <n v="2"/>
    <n v="30"/>
    <x v="17"/>
  </r>
  <r>
    <x v="960"/>
    <d v="2023-06-06T00:00:00"/>
    <x v="960"/>
    <x v="0"/>
    <x v="45"/>
    <x v="0"/>
    <n v="4"/>
    <n v="50"/>
    <x v="7"/>
  </r>
  <r>
    <x v="961"/>
    <d v="2023-10-19T00:00:00"/>
    <x v="961"/>
    <x v="0"/>
    <x v="24"/>
    <x v="1"/>
    <n v="2"/>
    <n v="30"/>
    <x v="17"/>
  </r>
  <r>
    <x v="962"/>
    <d v="2023-11-14T00:00:00"/>
    <x v="962"/>
    <x v="1"/>
    <x v="28"/>
    <x v="0"/>
    <n v="1"/>
    <n v="50"/>
    <x v="5"/>
  </r>
  <r>
    <x v="963"/>
    <d v="2023-01-31T00:00:00"/>
    <x v="963"/>
    <x v="0"/>
    <x v="46"/>
    <x v="1"/>
    <n v="3"/>
    <n v="300"/>
    <x v="12"/>
  </r>
  <r>
    <x v="964"/>
    <d v="2023-11-09T00:00:00"/>
    <x v="964"/>
    <x v="0"/>
    <x v="11"/>
    <x v="1"/>
    <n v="4"/>
    <n v="50"/>
    <x v="7"/>
  </r>
  <r>
    <x v="965"/>
    <d v="2023-02-20T00:00:00"/>
    <x v="965"/>
    <x v="0"/>
    <x v="43"/>
    <x v="2"/>
    <n v="2"/>
    <n v="500"/>
    <x v="1"/>
  </r>
  <r>
    <x v="966"/>
    <d v="2023-04-17T00:00:00"/>
    <x v="966"/>
    <x v="0"/>
    <x v="17"/>
    <x v="0"/>
    <n v="1"/>
    <n v="25"/>
    <x v="16"/>
  </r>
  <r>
    <x v="967"/>
    <d v="2023-11-17T00:00:00"/>
    <x v="967"/>
    <x v="1"/>
    <x v="27"/>
    <x v="1"/>
    <n v="3"/>
    <n v="300"/>
    <x v="12"/>
  </r>
  <r>
    <x v="968"/>
    <d v="2023-04-19T00:00:00"/>
    <x v="968"/>
    <x v="1"/>
    <x v="30"/>
    <x v="1"/>
    <n v="3"/>
    <n v="300"/>
    <x v="12"/>
  </r>
  <r>
    <x v="969"/>
    <d v="2023-05-16T00:00:00"/>
    <x v="969"/>
    <x v="0"/>
    <x v="42"/>
    <x v="2"/>
    <n v="4"/>
    <n v="500"/>
    <x v="11"/>
  </r>
  <r>
    <x v="970"/>
    <d v="2023-12-05T00:00:00"/>
    <x v="970"/>
    <x v="1"/>
    <x v="15"/>
    <x v="2"/>
    <n v="4"/>
    <n v="50"/>
    <x v="7"/>
  </r>
  <r>
    <x v="971"/>
    <d v="2023-02-11T00:00:00"/>
    <x v="971"/>
    <x v="0"/>
    <x v="19"/>
    <x v="0"/>
    <n v="4"/>
    <n v="25"/>
    <x v="4"/>
  </r>
  <r>
    <x v="972"/>
    <d v="2023-03-22T00:00:00"/>
    <x v="972"/>
    <x v="0"/>
    <x v="43"/>
    <x v="1"/>
    <n v="1"/>
    <n v="50"/>
    <x v="5"/>
  </r>
  <r>
    <x v="973"/>
    <d v="2023-05-03T00:00:00"/>
    <x v="973"/>
    <x v="0"/>
    <x v="16"/>
    <x v="0"/>
    <n v="1"/>
    <n v="30"/>
    <x v="2"/>
  </r>
  <r>
    <x v="974"/>
    <d v="2023-03-30T00:00:00"/>
    <x v="974"/>
    <x v="1"/>
    <x v="37"/>
    <x v="1"/>
    <n v="4"/>
    <n v="50"/>
    <x v="7"/>
  </r>
  <r>
    <x v="975"/>
    <d v="2023-10-10T00:00:00"/>
    <x v="975"/>
    <x v="1"/>
    <x v="27"/>
    <x v="0"/>
    <n v="2"/>
    <n v="300"/>
    <x v="6"/>
  </r>
  <r>
    <x v="976"/>
    <d v="2023-02-08T00:00:00"/>
    <x v="976"/>
    <x v="1"/>
    <x v="10"/>
    <x v="2"/>
    <n v="3"/>
    <n v="25"/>
    <x v="8"/>
  </r>
  <r>
    <x v="977"/>
    <d v="2023-03-22T00:00:00"/>
    <x v="977"/>
    <x v="1"/>
    <x v="45"/>
    <x v="1"/>
    <n v="3"/>
    <n v="50"/>
    <x v="0"/>
  </r>
  <r>
    <x v="978"/>
    <d v="2023-01-02T00:00:00"/>
    <x v="978"/>
    <x v="1"/>
    <x v="14"/>
    <x v="0"/>
    <n v="1"/>
    <n v="25"/>
    <x v="16"/>
  </r>
  <r>
    <x v="979"/>
    <d v="2023-07-29T00:00:00"/>
    <x v="979"/>
    <x v="1"/>
    <x v="33"/>
    <x v="2"/>
    <n v="3"/>
    <n v="25"/>
    <x v="8"/>
  </r>
  <r>
    <x v="980"/>
    <d v="2023-08-19T00:00:00"/>
    <x v="980"/>
    <x v="1"/>
    <x v="4"/>
    <x v="2"/>
    <n v="2"/>
    <n v="30"/>
    <x v="17"/>
  </r>
  <r>
    <x v="981"/>
    <d v="2023-12-19T00:00:00"/>
    <x v="981"/>
    <x v="1"/>
    <x v="6"/>
    <x v="0"/>
    <n v="3"/>
    <n v="30"/>
    <x v="15"/>
  </r>
  <r>
    <x v="982"/>
    <d v="2023-11-01T00:00:00"/>
    <x v="982"/>
    <x v="1"/>
    <x v="38"/>
    <x v="1"/>
    <n v="1"/>
    <n v="300"/>
    <x v="13"/>
  </r>
  <r>
    <x v="983"/>
    <d v="2023-08-29T00:00:00"/>
    <x v="983"/>
    <x v="0"/>
    <x v="37"/>
    <x v="1"/>
    <n v="1"/>
    <n v="500"/>
    <x v="3"/>
  </r>
  <r>
    <x v="984"/>
    <d v="2023-05-30T00:00:00"/>
    <x v="984"/>
    <x v="1"/>
    <x v="14"/>
    <x v="2"/>
    <n v="2"/>
    <n v="25"/>
    <x v="5"/>
  </r>
  <r>
    <x v="985"/>
    <d v="2023-01-17T00:00:00"/>
    <x v="985"/>
    <x v="1"/>
    <x v="19"/>
    <x v="1"/>
    <n v="2"/>
    <n v="500"/>
    <x v="1"/>
  </r>
  <r>
    <x v="986"/>
    <d v="2023-04-29T00:00:00"/>
    <x v="986"/>
    <x v="1"/>
    <x v="4"/>
    <x v="1"/>
    <n v="3"/>
    <n v="300"/>
    <x v="12"/>
  </r>
  <r>
    <x v="987"/>
    <d v="2023-05-28T00:00:00"/>
    <x v="987"/>
    <x v="1"/>
    <x v="7"/>
    <x v="1"/>
    <n v="3"/>
    <n v="25"/>
    <x v="8"/>
  </r>
  <r>
    <x v="988"/>
    <d v="2023-12-28T00:00:00"/>
    <x v="988"/>
    <x v="1"/>
    <x v="24"/>
    <x v="2"/>
    <n v="1"/>
    <n v="25"/>
    <x v="16"/>
  </r>
  <r>
    <x v="989"/>
    <d v="2023-05-25T00:00:00"/>
    <x v="989"/>
    <x v="1"/>
    <x v="26"/>
    <x v="0"/>
    <n v="2"/>
    <n v="500"/>
    <x v="1"/>
  </r>
  <r>
    <x v="990"/>
    <d v="2023-12-26T00:00:00"/>
    <x v="990"/>
    <x v="1"/>
    <x v="0"/>
    <x v="1"/>
    <n v="2"/>
    <n v="50"/>
    <x v="4"/>
  </r>
  <r>
    <x v="991"/>
    <d v="2023-08-21T00:00:00"/>
    <x v="991"/>
    <x v="1"/>
    <x v="35"/>
    <x v="2"/>
    <n v="2"/>
    <n v="30"/>
    <x v="17"/>
  </r>
  <r>
    <x v="992"/>
    <d v="2023-02-06T00:00:00"/>
    <x v="992"/>
    <x v="1"/>
    <x v="27"/>
    <x v="2"/>
    <n v="3"/>
    <n v="50"/>
    <x v="0"/>
  </r>
  <r>
    <x v="993"/>
    <d v="2023-12-18T00:00:00"/>
    <x v="993"/>
    <x v="1"/>
    <x v="25"/>
    <x v="0"/>
    <n v="2"/>
    <n v="500"/>
    <x v="1"/>
  </r>
  <r>
    <x v="994"/>
    <d v="2023-04-30T00:00:00"/>
    <x v="994"/>
    <x v="1"/>
    <x v="41"/>
    <x v="1"/>
    <n v="1"/>
    <n v="30"/>
    <x v="2"/>
  </r>
  <r>
    <x v="995"/>
    <d v="2023-05-16T00:00:00"/>
    <x v="995"/>
    <x v="0"/>
    <x v="17"/>
    <x v="1"/>
    <n v="1"/>
    <n v="50"/>
    <x v="5"/>
  </r>
  <r>
    <x v="996"/>
    <d v="2023-11-17T00:00:00"/>
    <x v="996"/>
    <x v="0"/>
    <x v="8"/>
    <x v="0"/>
    <n v="3"/>
    <n v="30"/>
    <x v="15"/>
  </r>
  <r>
    <x v="997"/>
    <d v="2023-10-29T00:00:00"/>
    <x v="997"/>
    <x v="1"/>
    <x v="9"/>
    <x v="0"/>
    <n v="4"/>
    <n v="25"/>
    <x v="4"/>
  </r>
  <r>
    <x v="998"/>
    <d v="2023-12-05T00:00:00"/>
    <x v="998"/>
    <x v="1"/>
    <x v="32"/>
    <x v="2"/>
    <n v="3"/>
    <n v="50"/>
    <x v="0"/>
  </r>
  <r>
    <x v="999"/>
    <d v="2023-04-12T00:00:00"/>
    <x v="999"/>
    <x v="0"/>
    <x v="16"/>
    <x v="2"/>
    <n v="4"/>
    <n v="30"/>
    <x v="10"/>
  </r>
  <r>
    <x v="1000"/>
    <m/>
    <x v="1000"/>
    <x v="2"/>
    <x v="47"/>
    <x v="3"/>
    <m/>
    <m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x v="0"/>
    <x v="0"/>
    <n v="50"/>
    <n v="150"/>
  </r>
  <r>
    <n v="2"/>
    <d v="2023-02-27T00:00:00"/>
    <s v="CUST002"/>
    <s v="Female"/>
    <n v="26"/>
    <x v="1"/>
    <x v="1"/>
    <n v="500"/>
    <n v="1000"/>
  </r>
  <r>
    <n v="3"/>
    <d v="2023-01-13T00:00:00"/>
    <s v="CUST003"/>
    <s v="Male"/>
    <n v="50"/>
    <x v="2"/>
    <x v="2"/>
    <n v="30"/>
    <n v="30"/>
  </r>
  <r>
    <n v="4"/>
    <d v="2023-05-21T00:00:00"/>
    <s v="CUST004"/>
    <s v="Male"/>
    <n v="37"/>
    <x v="1"/>
    <x v="2"/>
    <n v="500"/>
    <n v="500"/>
  </r>
  <r>
    <n v="5"/>
    <d v="2023-05-06T00:00:00"/>
    <s v="CUST005"/>
    <s v="Male"/>
    <n v="30"/>
    <x v="0"/>
    <x v="1"/>
    <n v="50"/>
    <n v="100"/>
  </r>
  <r>
    <n v="6"/>
    <d v="2023-04-25T00:00:00"/>
    <s v="CUST006"/>
    <s v="Female"/>
    <n v="45"/>
    <x v="0"/>
    <x v="2"/>
    <n v="30"/>
    <n v="30"/>
  </r>
  <r>
    <n v="7"/>
    <d v="2023-03-13T00:00:00"/>
    <s v="CUST007"/>
    <s v="Male"/>
    <n v="46"/>
    <x v="1"/>
    <x v="1"/>
    <n v="25"/>
    <n v="50"/>
  </r>
  <r>
    <n v="8"/>
    <d v="2023-02-22T00:00:00"/>
    <s v="CUST008"/>
    <s v="Male"/>
    <n v="30"/>
    <x v="2"/>
    <x v="3"/>
    <n v="25"/>
    <n v="100"/>
  </r>
  <r>
    <n v="9"/>
    <d v="2023-12-13T00:00:00"/>
    <s v="CUST009"/>
    <s v="Male"/>
    <n v="63"/>
    <x v="2"/>
    <x v="1"/>
    <n v="300"/>
    <n v="600"/>
  </r>
  <r>
    <n v="10"/>
    <d v="2023-10-07T00:00:00"/>
    <s v="CUST010"/>
    <s v="Female"/>
    <n v="52"/>
    <x v="1"/>
    <x v="3"/>
    <n v="50"/>
    <n v="200"/>
  </r>
  <r>
    <n v="11"/>
    <d v="2023-02-14T00:00:00"/>
    <s v="CUST011"/>
    <s v="Male"/>
    <n v="23"/>
    <x v="1"/>
    <x v="1"/>
    <n v="50"/>
    <n v="100"/>
  </r>
  <r>
    <n v="12"/>
    <d v="2023-10-30T00:00:00"/>
    <s v="CUST012"/>
    <s v="Male"/>
    <n v="35"/>
    <x v="0"/>
    <x v="0"/>
    <n v="25"/>
    <n v="75"/>
  </r>
  <r>
    <n v="13"/>
    <d v="2023-08-05T00:00:00"/>
    <s v="CUST013"/>
    <s v="Male"/>
    <n v="22"/>
    <x v="2"/>
    <x v="0"/>
    <n v="500"/>
    <n v="1500"/>
  </r>
  <r>
    <n v="14"/>
    <d v="2023-01-17T00:00:00"/>
    <s v="CUST014"/>
    <s v="Male"/>
    <n v="64"/>
    <x v="1"/>
    <x v="3"/>
    <n v="30"/>
    <n v="120"/>
  </r>
  <r>
    <n v="15"/>
    <d v="2023-01-16T00:00:00"/>
    <s v="CUST015"/>
    <s v="Female"/>
    <n v="42"/>
    <x v="2"/>
    <x v="3"/>
    <n v="500"/>
    <n v="2000"/>
  </r>
  <r>
    <n v="16"/>
    <d v="2023-02-17T00:00:00"/>
    <s v="CUST016"/>
    <s v="Male"/>
    <n v="19"/>
    <x v="1"/>
    <x v="0"/>
    <n v="500"/>
    <n v="1500"/>
  </r>
  <r>
    <n v="17"/>
    <d v="2023-04-22T00:00:00"/>
    <s v="CUST017"/>
    <s v="Female"/>
    <n v="27"/>
    <x v="1"/>
    <x v="3"/>
    <n v="25"/>
    <n v="100"/>
  </r>
  <r>
    <n v="18"/>
    <d v="2023-04-30T00:00:00"/>
    <s v="CUST018"/>
    <s v="Female"/>
    <n v="47"/>
    <x v="2"/>
    <x v="1"/>
    <n v="25"/>
    <n v="50"/>
  </r>
  <r>
    <n v="19"/>
    <d v="2023-09-16T00:00:00"/>
    <s v="CUST019"/>
    <s v="Female"/>
    <n v="62"/>
    <x v="1"/>
    <x v="1"/>
    <n v="25"/>
    <n v="50"/>
  </r>
  <r>
    <n v="20"/>
    <d v="2023-11-05T00:00:00"/>
    <s v="CUST020"/>
    <s v="Male"/>
    <n v="22"/>
    <x v="1"/>
    <x v="0"/>
    <n v="300"/>
    <n v="900"/>
  </r>
  <r>
    <n v="21"/>
    <d v="2023-01-14T00:00:00"/>
    <s v="CUST021"/>
    <s v="Female"/>
    <n v="50"/>
    <x v="0"/>
    <x v="2"/>
    <n v="500"/>
    <n v="500"/>
  </r>
  <r>
    <n v="22"/>
    <d v="2023-10-15T00:00:00"/>
    <s v="CUST022"/>
    <s v="Male"/>
    <n v="18"/>
    <x v="1"/>
    <x v="1"/>
    <n v="50"/>
    <n v="100"/>
  </r>
  <r>
    <n v="23"/>
    <d v="2023-04-12T00:00:00"/>
    <s v="CUST023"/>
    <s v="Female"/>
    <n v="35"/>
    <x v="1"/>
    <x v="3"/>
    <n v="30"/>
    <n v="120"/>
  </r>
  <r>
    <n v="24"/>
    <d v="2023-11-29T00:00:00"/>
    <s v="CUST024"/>
    <s v="Female"/>
    <n v="49"/>
    <x v="1"/>
    <x v="2"/>
    <n v="300"/>
    <n v="300"/>
  </r>
  <r>
    <n v="25"/>
    <d v="2023-12-26T00:00:00"/>
    <s v="CUST025"/>
    <s v="Female"/>
    <n v="64"/>
    <x v="0"/>
    <x v="2"/>
    <n v="50"/>
    <n v="50"/>
  </r>
  <r>
    <n v="26"/>
    <d v="2023-10-07T00:00:00"/>
    <s v="CUST026"/>
    <s v="Female"/>
    <n v="28"/>
    <x v="2"/>
    <x v="1"/>
    <n v="500"/>
    <n v="1000"/>
  </r>
  <r>
    <n v="27"/>
    <d v="2023-08-03T00:00:00"/>
    <s v="CUST027"/>
    <s v="Female"/>
    <n v="38"/>
    <x v="0"/>
    <x v="1"/>
    <n v="25"/>
    <n v="50"/>
  </r>
  <r>
    <n v="28"/>
    <d v="2023-04-23T00:00:00"/>
    <s v="CUST028"/>
    <s v="Female"/>
    <n v="43"/>
    <x v="0"/>
    <x v="2"/>
    <n v="500"/>
    <n v="500"/>
  </r>
  <r>
    <n v="29"/>
    <d v="2023-08-18T00:00:00"/>
    <s v="CUST029"/>
    <s v="Female"/>
    <n v="42"/>
    <x v="2"/>
    <x v="2"/>
    <n v="30"/>
    <n v="30"/>
  </r>
  <r>
    <n v="30"/>
    <d v="2023-10-29T00:00:00"/>
    <s v="CUST030"/>
    <s v="Female"/>
    <n v="39"/>
    <x v="0"/>
    <x v="0"/>
    <n v="300"/>
    <n v="900"/>
  </r>
  <r>
    <n v="31"/>
    <d v="2023-05-23T00:00:00"/>
    <s v="CUST031"/>
    <s v="Male"/>
    <n v="44"/>
    <x v="2"/>
    <x v="3"/>
    <n v="300"/>
    <n v="1200"/>
  </r>
  <r>
    <n v="32"/>
    <d v="2023-01-04T00:00:00"/>
    <s v="CUST032"/>
    <s v="Male"/>
    <n v="30"/>
    <x v="0"/>
    <x v="0"/>
    <n v="30"/>
    <n v="90"/>
  </r>
  <r>
    <n v="33"/>
    <d v="2023-03-23T00:00:00"/>
    <s v="CUST033"/>
    <s v="Female"/>
    <n v="50"/>
    <x v="2"/>
    <x v="1"/>
    <n v="50"/>
    <n v="100"/>
  </r>
  <r>
    <n v="34"/>
    <d v="2023-12-24T00:00:00"/>
    <s v="CUST034"/>
    <s v="Female"/>
    <n v="51"/>
    <x v="1"/>
    <x v="0"/>
    <n v="50"/>
    <n v="150"/>
  </r>
  <r>
    <n v="35"/>
    <d v="2023-08-05T00:00:00"/>
    <s v="CUST035"/>
    <s v="Female"/>
    <n v="58"/>
    <x v="0"/>
    <x v="0"/>
    <n v="300"/>
    <n v="900"/>
  </r>
  <r>
    <n v="36"/>
    <d v="2023-06-24T00:00:00"/>
    <s v="CUST036"/>
    <s v="Male"/>
    <n v="52"/>
    <x v="0"/>
    <x v="0"/>
    <n v="300"/>
    <n v="900"/>
  </r>
  <r>
    <n v="37"/>
    <d v="2023-05-23T00:00:00"/>
    <s v="CUST037"/>
    <s v="Female"/>
    <n v="18"/>
    <x v="0"/>
    <x v="0"/>
    <n v="25"/>
    <n v="75"/>
  </r>
  <r>
    <n v="38"/>
    <d v="2023-03-21T00:00:00"/>
    <s v="CUST038"/>
    <s v="Male"/>
    <n v="38"/>
    <x v="0"/>
    <x v="3"/>
    <n v="50"/>
    <n v="200"/>
  </r>
  <r>
    <n v="39"/>
    <d v="2023-04-21T00:00:00"/>
    <s v="CUST039"/>
    <s v="Male"/>
    <n v="23"/>
    <x v="1"/>
    <x v="3"/>
    <n v="30"/>
    <n v="120"/>
  </r>
  <r>
    <n v="40"/>
    <d v="2023-06-22T00:00:00"/>
    <s v="CUST040"/>
    <s v="Male"/>
    <n v="45"/>
    <x v="0"/>
    <x v="2"/>
    <n v="50"/>
    <n v="50"/>
  </r>
  <r>
    <n v="41"/>
    <d v="2023-02-22T00:00:00"/>
    <s v="CUST041"/>
    <s v="Male"/>
    <n v="34"/>
    <x v="1"/>
    <x v="1"/>
    <n v="25"/>
    <n v="50"/>
  </r>
  <r>
    <n v="42"/>
    <d v="2023-02-17T00:00:00"/>
    <s v="CUST042"/>
    <s v="Male"/>
    <n v="22"/>
    <x v="1"/>
    <x v="0"/>
    <n v="300"/>
    <n v="900"/>
  </r>
  <r>
    <n v="43"/>
    <d v="2023-07-14T00:00:00"/>
    <s v="CUST043"/>
    <s v="Female"/>
    <n v="48"/>
    <x v="1"/>
    <x v="2"/>
    <n v="300"/>
    <n v="300"/>
  </r>
  <r>
    <n v="44"/>
    <d v="2023-02-19T00:00:00"/>
    <s v="CUST044"/>
    <s v="Female"/>
    <n v="22"/>
    <x v="1"/>
    <x v="2"/>
    <n v="25"/>
    <n v="25"/>
  </r>
  <r>
    <n v="45"/>
    <d v="2023-07-03T00:00:00"/>
    <s v="CUST045"/>
    <s v="Female"/>
    <n v="55"/>
    <x v="2"/>
    <x v="2"/>
    <n v="30"/>
    <n v="30"/>
  </r>
  <r>
    <n v="46"/>
    <d v="2023-06-26T00:00:00"/>
    <s v="CUST046"/>
    <s v="Female"/>
    <n v="20"/>
    <x v="2"/>
    <x v="3"/>
    <n v="300"/>
    <n v="1200"/>
  </r>
  <r>
    <n v="47"/>
    <d v="2023-11-06T00:00:00"/>
    <s v="CUST047"/>
    <s v="Female"/>
    <n v="40"/>
    <x v="0"/>
    <x v="0"/>
    <n v="500"/>
    <n v="1500"/>
  </r>
  <r>
    <n v="48"/>
    <d v="2023-05-16T00:00:00"/>
    <s v="CUST048"/>
    <s v="Male"/>
    <n v="54"/>
    <x v="2"/>
    <x v="0"/>
    <n v="300"/>
    <n v="900"/>
  </r>
  <r>
    <n v="49"/>
    <d v="2023-01-23T00:00:00"/>
    <s v="CUST049"/>
    <s v="Female"/>
    <n v="54"/>
    <x v="2"/>
    <x v="1"/>
    <n v="500"/>
    <n v="1000"/>
  </r>
  <r>
    <n v="50"/>
    <d v="2023-08-24T00:00:00"/>
    <s v="CUST050"/>
    <s v="Female"/>
    <n v="27"/>
    <x v="0"/>
    <x v="0"/>
    <n v="25"/>
    <n v="75"/>
  </r>
  <r>
    <n v="51"/>
    <d v="2023-10-02T00:00:00"/>
    <s v="CUST051"/>
    <s v="Male"/>
    <n v="27"/>
    <x v="0"/>
    <x v="0"/>
    <n v="25"/>
    <n v="75"/>
  </r>
  <r>
    <n v="52"/>
    <d v="2023-03-05T00:00:00"/>
    <s v="CUST052"/>
    <s v="Female"/>
    <n v="36"/>
    <x v="0"/>
    <x v="2"/>
    <n v="300"/>
    <n v="300"/>
  </r>
  <r>
    <n v="53"/>
    <d v="2023-07-13T00:00:00"/>
    <s v="CUST053"/>
    <s v="Male"/>
    <n v="34"/>
    <x v="2"/>
    <x v="1"/>
    <n v="50"/>
    <n v="100"/>
  </r>
  <r>
    <n v="54"/>
    <d v="2023-02-10T00:00:00"/>
    <s v="CUST054"/>
    <s v="Female"/>
    <n v="38"/>
    <x v="2"/>
    <x v="0"/>
    <n v="500"/>
    <n v="1500"/>
  </r>
  <r>
    <n v="55"/>
    <d v="2023-10-10T00:00:00"/>
    <s v="CUST055"/>
    <s v="Male"/>
    <n v="31"/>
    <x v="0"/>
    <x v="3"/>
    <n v="30"/>
    <n v="120"/>
  </r>
  <r>
    <n v="56"/>
    <d v="2023-05-31T00:00:00"/>
    <s v="CUST056"/>
    <s v="Female"/>
    <n v="26"/>
    <x v="1"/>
    <x v="0"/>
    <n v="300"/>
    <n v="900"/>
  </r>
  <r>
    <n v="57"/>
    <d v="2023-11-18T00:00:00"/>
    <s v="CUST057"/>
    <s v="Female"/>
    <n v="63"/>
    <x v="0"/>
    <x v="2"/>
    <n v="30"/>
    <n v="30"/>
  </r>
  <r>
    <n v="58"/>
    <d v="2023-11-13T00:00:00"/>
    <s v="CUST058"/>
    <s v="Male"/>
    <n v="18"/>
    <x v="1"/>
    <x v="3"/>
    <n v="300"/>
    <n v="1200"/>
  </r>
  <r>
    <n v="59"/>
    <d v="2023-07-05T00:00:00"/>
    <s v="CUST059"/>
    <s v="Male"/>
    <n v="62"/>
    <x v="1"/>
    <x v="2"/>
    <n v="50"/>
    <n v="50"/>
  </r>
  <r>
    <n v="60"/>
    <d v="2023-10-23T00:00:00"/>
    <s v="CUST060"/>
    <s v="Male"/>
    <n v="30"/>
    <x v="0"/>
    <x v="0"/>
    <n v="50"/>
    <n v="150"/>
  </r>
  <r>
    <n v="61"/>
    <d v="2023-04-09T00:00:00"/>
    <s v="CUST061"/>
    <s v="Male"/>
    <n v="21"/>
    <x v="0"/>
    <x v="3"/>
    <n v="50"/>
    <n v="200"/>
  </r>
  <r>
    <n v="62"/>
    <d v="2023-12-27T00:00:00"/>
    <s v="CUST062"/>
    <s v="Male"/>
    <n v="18"/>
    <x v="0"/>
    <x v="1"/>
    <n v="50"/>
    <n v="100"/>
  </r>
  <r>
    <n v="63"/>
    <d v="2023-02-05T00:00:00"/>
    <s v="CUST063"/>
    <s v="Male"/>
    <n v="57"/>
    <x v="2"/>
    <x v="1"/>
    <n v="25"/>
    <n v="50"/>
  </r>
  <r>
    <n v="64"/>
    <d v="2023-01-24T00:00:00"/>
    <s v="CUST064"/>
    <s v="Male"/>
    <n v="49"/>
    <x v="1"/>
    <x v="3"/>
    <n v="25"/>
    <n v="100"/>
  </r>
  <r>
    <n v="65"/>
    <d v="2023-12-05T00:00:00"/>
    <s v="CUST065"/>
    <s v="Male"/>
    <n v="51"/>
    <x v="2"/>
    <x v="3"/>
    <n v="500"/>
    <n v="2000"/>
  </r>
  <r>
    <n v="66"/>
    <d v="2023-04-27T00:00:00"/>
    <s v="CUST066"/>
    <s v="Female"/>
    <n v="45"/>
    <x v="2"/>
    <x v="2"/>
    <n v="30"/>
    <n v="30"/>
  </r>
  <r>
    <n v="67"/>
    <d v="2023-05-29T00:00:00"/>
    <s v="CUST067"/>
    <s v="Female"/>
    <n v="48"/>
    <x v="0"/>
    <x v="3"/>
    <n v="300"/>
    <n v="1200"/>
  </r>
  <r>
    <n v="68"/>
    <d v="2023-02-10T00:00:00"/>
    <s v="CUST068"/>
    <s v="Male"/>
    <n v="25"/>
    <x v="2"/>
    <x v="2"/>
    <n v="300"/>
    <n v="300"/>
  </r>
  <r>
    <n v="69"/>
    <d v="2023-04-30T00:00:00"/>
    <s v="CUST069"/>
    <s v="Female"/>
    <n v="56"/>
    <x v="0"/>
    <x v="0"/>
    <n v="25"/>
    <n v="75"/>
  </r>
  <r>
    <n v="70"/>
    <d v="2023-02-21T00:00:00"/>
    <s v="CUST070"/>
    <s v="Female"/>
    <n v="43"/>
    <x v="1"/>
    <x v="2"/>
    <n v="300"/>
    <n v="300"/>
  </r>
  <r>
    <n v="71"/>
    <d v="2023-07-14T00:00:00"/>
    <s v="CUST071"/>
    <s v="Female"/>
    <n v="51"/>
    <x v="0"/>
    <x v="3"/>
    <n v="25"/>
    <n v="100"/>
  </r>
  <r>
    <n v="72"/>
    <d v="2023-05-23T00:00:00"/>
    <s v="CUST072"/>
    <s v="Female"/>
    <n v="20"/>
    <x v="2"/>
    <x v="3"/>
    <n v="500"/>
    <n v="2000"/>
  </r>
  <r>
    <n v="73"/>
    <d v="2023-08-21T00:00:00"/>
    <s v="CUST073"/>
    <s v="Male"/>
    <n v="29"/>
    <x v="2"/>
    <x v="0"/>
    <n v="30"/>
    <n v="90"/>
  </r>
  <r>
    <n v="74"/>
    <d v="2023-11-22T00:00:00"/>
    <s v="CUST074"/>
    <s v="Female"/>
    <n v="18"/>
    <x v="0"/>
    <x v="3"/>
    <n v="500"/>
    <n v="2000"/>
  </r>
  <r>
    <n v="75"/>
    <d v="2023-07-06T00:00:00"/>
    <s v="CUST075"/>
    <s v="Male"/>
    <n v="61"/>
    <x v="0"/>
    <x v="3"/>
    <n v="50"/>
    <n v="200"/>
  </r>
  <r>
    <n v="76"/>
    <d v="2023-03-25T00:00:00"/>
    <s v="CUST076"/>
    <s v="Female"/>
    <n v="22"/>
    <x v="2"/>
    <x v="1"/>
    <n v="50"/>
    <n v="100"/>
  </r>
  <r>
    <n v="77"/>
    <d v="2023-07-09T00:00:00"/>
    <s v="CUST077"/>
    <s v="Female"/>
    <n v="47"/>
    <x v="1"/>
    <x v="1"/>
    <n v="50"/>
    <n v="100"/>
  </r>
  <r>
    <n v="78"/>
    <d v="2023-07-01T00:00:00"/>
    <s v="CUST078"/>
    <s v="Female"/>
    <n v="47"/>
    <x v="1"/>
    <x v="0"/>
    <n v="500"/>
    <n v="1500"/>
  </r>
  <r>
    <n v="79"/>
    <d v="2023-04-18T00:00:00"/>
    <s v="CUST079"/>
    <s v="Male"/>
    <n v="34"/>
    <x v="0"/>
    <x v="2"/>
    <n v="300"/>
    <n v="300"/>
  </r>
  <r>
    <n v="80"/>
    <d v="2023-12-10T00:00:00"/>
    <s v="CUST080"/>
    <s v="Female"/>
    <n v="64"/>
    <x v="1"/>
    <x v="1"/>
    <n v="30"/>
    <n v="60"/>
  </r>
  <r>
    <n v="81"/>
    <d v="2023-05-17T00:00:00"/>
    <s v="CUST081"/>
    <s v="Male"/>
    <n v="40"/>
    <x v="2"/>
    <x v="2"/>
    <n v="50"/>
    <n v="50"/>
  </r>
  <r>
    <n v="82"/>
    <d v="2023-12-26T00:00:00"/>
    <s v="CUST082"/>
    <s v="Female"/>
    <n v="32"/>
    <x v="0"/>
    <x v="3"/>
    <n v="50"/>
    <n v="200"/>
  </r>
  <r>
    <n v="83"/>
    <d v="2023-12-16T00:00:00"/>
    <s v="CUST083"/>
    <s v="Male"/>
    <n v="54"/>
    <x v="2"/>
    <x v="1"/>
    <n v="50"/>
    <n v="100"/>
  </r>
  <r>
    <n v="84"/>
    <d v="2023-11-28T00:00:00"/>
    <s v="CUST084"/>
    <s v="Female"/>
    <n v="38"/>
    <x v="2"/>
    <x v="0"/>
    <n v="30"/>
    <n v="90"/>
  </r>
  <r>
    <n v="85"/>
    <d v="2023-02-06T00:00:00"/>
    <s v="CUST085"/>
    <s v="Male"/>
    <n v="31"/>
    <x v="1"/>
    <x v="0"/>
    <n v="50"/>
    <n v="150"/>
  </r>
  <r>
    <n v="86"/>
    <d v="2023-11-08T00:00:00"/>
    <s v="CUST086"/>
    <s v="Male"/>
    <n v="19"/>
    <x v="0"/>
    <x v="0"/>
    <n v="30"/>
    <n v="90"/>
  </r>
  <r>
    <n v="87"/>
    <d v="2023-11-22T00:00:00"/>
    <s v="CUST087"/>
    <s v="Female"/>
    <n v="28"/>
    <x v="0"/>
    <x v="1"/>
    <n v="50"/>
    <n v="100"/>
  </r>
  <r>
    <n v="88"/>
    <d v="2023-03-29T00:00:00"/>
    <s v="CUST088"/>
    <s v="Male"/>
    <n v="56"/>
    <x v="1"/>
    <x v="2"/>
    <n v="500"/>
    <n v="500"/>
  </r>
  <r>
    <n v="89"/>
    <d v="2023-10-01T00:00:00"/>
    <s v="CUST089"/>
    <s v="Female"/>
    <n v="55"/>
    <x v="2"/>
    <x v="3"/>
    <n v="500"/>
    <n v="2000"/>
  </r>
  <r>
    <n v="90"/>
    <d v="2023-05-06T00:00:00"/>
    <s v="CUST090"/>
    <s v="Female"/>
    <n v="51"/>
    <x v="2"/>
    <x v="2"/>
    <n v="30"/>
    <n v="30"/>
  </r>
  <r>
    <n v="91"/>
    <d v="2023-03-25T00:00:00"/>
    <s v="CUST091"/>
    <s v="Female"/>
    <n v="55"/>
    <x v="2"/>
    <x v="2"/>
    <n v="500"/>
    <n v="500"/>
  </r>
  <r>
    <n v="92"/>
    <d v="2023-08-25T00:00:00"/>
    <s v="CUST092"/>
    <s v="Female"/>
    <n v="51"/>
    <x v="2"/>
    <x v="3"/>
    <n v="30"/>
    <n v="120"/>
  </r>
  <r>
    <n v="93"/>
    <d v="2023-07-14T00:00:00"/>
    <s v="CUST093"/>
    <s v="Female"/>
    <n v="35"/>
    <x v="0"/>
    <x v="3"/>
    <n v="500"/>
    <n v="2000"/>
  </r>
  <r>
    <n v="94"/>
    <d v="2023-05-19T00:00:00"/>
    <s v="CUST094"/>
    <s v="Female"/>
    <n v="47"/>
    <x v="0"/>
    <x v="1"/>
    <n v="500"/>
    <n v="1000"/>
  </r>
  <r>
    <n v="95"/>
    <d v="2023-11-24T00:00:00"/>
    <s v="CUST095"/>
    <s v="Female"/>
    <n v="32"/>
    <x v="1"/>
    <x v="1"/>
    <n v="30"/>
    <n v="60"/>
  </r>
  <r>
    <n v="96"/>
    <d v="2023-12-19T00:00:00"/>
    <s v="CUST096"/>
    <s v="Female"/>
    <n v="44"/>
    <x v="1"/>
    <x v="1"/>
    <n v="300"/>
    <n v="600"/>
  </r>
  <r>
    <n v="97"/>
    <d v="2023-10-13T00:00:00"/>
    <s v="CUST097"/>
    <s v="Female"/>
    <n v="51"/>
    <x v="0"/>
    <x v="1"/>
    <n v="500"/>
    <n v="1000"/>
  </r>
  <r>
    <n v="98"/>
    <d v="2023-04-23T00:00:00"/>
    <s v="CUST098"/>
    <s v="Female"/>
    <n v="55"/>
    <x v="0"/>
    <x v="1"/>
    <n v="50"/>
    <n v="100"/>
  </r>
  <r>
    <n v="99"/>
    <d v="2023-12-17T00:00:00"/>
    <s v="CUST099"/>
    <s v="Female"/>
    <n v="50"/>
    <x v="2"/>
    <x v="3"/>
    <n v="300"/>
    <n v="1200"/>
  </r>
  <r>
    <n v="100"/>
    <d v="2023-06-16T00:00:00"/>
    <s v="CUST100"/>
    <s v="Male"/>
    <n v="41"/>
    <x v="2"/>
    <x v="2"/>
    <n v="30"/>
    <n v="30"/>
  </r>
  <r>
    <n v="101"/>
    <d v="2023-01-29T00:00:00"/>
    <s v="CUST101"/>
    <s v="Male"/>
    <n v="32"/>
    <x v="1"/>
    <x v="1"/>
    <n v="300"/>
    <n v="600"/>
  </r>
  <r>
    <n v="102"/>
    <d v="2023-04-28T00:00:00"/>
    <s v="CUST102"/>
    <s v="Female"/>
    <n v="47"/>
    <x v="0"/>
    <x v="1"/>
    <n v="25"/>
    <n v="50"/>
  </r>
  <r>
    <n v="103"/>
    <d v="2023-01-17T00:00:00"/>
    <s v="CUST103"/>
    <s v="Female"/>
    <n v="59"/>
    <x v="1"/>
    <x v="2"/>
    <n v="25"/>
    <n v="25"/>
  </r>
  <r>
    <n v="104"/>
    <d v="2023-06-11T00:00:00"/>
    <s v="CUST104"/>
    <s v="Female"/>
    <n v="34"/>
    <x v="0"/>
    <x v="1"/>
    <n v="500"/>
    <n v="1000"/>
  </r>
  <r>
    <n v="105"/>
    <d v="2023-07-25T00:00:00"/>
    <s v="CUST105"/>
    <s v="Female"/>
    <n v="22"/>
    <x v="2"/>
    <x v="2"/>
    <n v="500"/>
    <n v="500"/>
  </r>
  <r>
    <n v="106"/>
    <d v="2023-05-18T00:00:00"/>
    <s v="CUST106"/>
    <s v="Female"/>
    <n v="46"/>
    <x v="1"/>
    <x v="2"/>
    <n v="50"/>
    <n v="50"/>
  </r>
  <r>
    <n v="107"/>
    <d v="2023-02-03T00:00:00"/>
    <s v="CUST107"/>
    <s v="Female"/>
    <n v="21"/>
    <x v="1"/>
    <x v="3"/>
    <n v="300"/>
    <n v="1200"/>
  </r>
  <r>
    <n v="108"/>
    <d v="2023-04-19T00:00:00"/>
    <s v="CUST108"/>
    <s v="Female"/>
    <n v="27"/>
    <x v="0"/>
    <x v="0"/>
    <n v="25"/>
    <n v="75"/>
  </r>
  <r>
    <n v="109"/>
    <d v="2023-10-18T00:00:00"/>
    <s v="CUST109"/>
    <s v="Female"/>
    <n v="34"/>
    <x v="2"/>
    <x v="3"/>
    <n v="500"/>
    <n v="2000"/>
  </r>
  <r>
    <n v="110"/>
    <d v="2023-06-11T00:00:00"/>
    <s v="CUST110"/>
    <s v="Male"/>
    <n v="27"/>
    <x v="1"/>
    <x v="0"/>
    <n v="300"/>
    <n v="900"/>
  </r>
  <r>
    <n v="111"/>
    <d v="2023-04-19T00:00:00"/>
    <s v="CUST111"/>
    <s v="Female"/>
    <n v="34"/>
    <x v="2"/>
    <x v="0"/>
    <n v="500"/>
    <n v="1500"/>
  </r>
  <r>
    <n v="112"/>
    <d v="2023-12-02T00:00:00"/>
    <s v="CUST112"/>
    <s v="Male"/>
    <n v="37"/>
    <x v="1"/>
    <x v="0"/>
    <n v="500"/>
    <n v="1500"/>
  </r>
  <r>
    <n v="113"/>
    <d v="2023-09-13T00:00:00"/>
    <s v="CUST113"/>
    <s v="Female"/>
    <n v="41"/>
    <x v="2"/>
    <x v="1"/>
    <n v="25"/>
    <n v="50"/>
  </r>
  <r>
    <n v="114"/>
    <d v="2023-07-22T00:00:00"/>
    <s v="CUST114"/>
    <s v="Female"/>
    <n v="22"/>
    <x v="0"/>
    <x v="3"/>
    <n v="25"/>
    <n v="100"/>
  </r>
  <r>
    <n v="115"/>
    <d v="2023-11-26T00:00:00"/>
    <s v="CUST115"/>
    <s v="Male"/>
    <n v="51"/>
    <x v="1"/>
    <x v="0"/>
    <n v="500"/>
    <n v="1500"/>
  </r>
  <r>
    <n v="116"/>
    <d v="2023-08-23T00:00:00"/>
    <s v="CUST116"/>
    <s v="Female"/>
    <n v="23"/>
    <x v="1"/>
    <x v="2"/>
    <n v="30"/>
    <n v="30"/>
  </r>
  <r>
    <n v="117"/>
    <d v="2023-03-15T00:00:00"/>
    <s v="CUST117"/>
    <s v="Male"/>
    <n v="19"/>
    <x v="2"/>
    <x v="1"/>
    <n v="500"/>
    <n v="1000"/>
  </r>
  <r>
    <n v="118"/>
    <d v="2023-05-16T00:00:00"/>
    <s v="CUST118"/>
    <s v="Female"/>
    <n v="30"/>
    <x v="2"/>
    <x v="3"/>
    <n v="500"/>
    <n v="2000"/>
  </r>
  <r>
    <n v="119"/>
    <d v="2023-03-13T00:00:00"/>
    <s v="CUST119"/>
    <s v="Female"/>
    <n v="60"/>
    <x v="1"/>
    <x v="0"/>
    <n v="50"/>
    <n v="150"/>
  </r>
  <r>
    <n v="120"/>
    <d v="2023-05-07T00:00:00"/>
    <s v="CUST120"/>
    <s v="Male"/>
    <n v="60"/>
    <x v="0"/>
    <x v="2"/>
    <n v="50"/>
    <n v="50"/>
  </r>
  <r>
    <n v="121"/>
    <d v="2023-10-15T00:00:00"/>
    <s v="CUST121"/>
    <s v="Female"/>
    <n v="28"/>
    <x v="2"/>
    <x v="3"/>
    <n v="50"/>
    <n v="200"/>
  </r>
  <r>
    <n v="122"/>
    <d v="2023-10-03T00:00:00"/>
    <s v="CUST122"/>
    <s v="Male"/>
    <n v="64"/>
    <x v="2"/>
    <x v="3"/>
    <n v="30"/>
    <n v="120"/>
  </r>
  <r>
    <n v="123"/>
    <d v="2023-05-15T00:00:00"/>
    <s v="CUST123"/>
    <s v="Female"/>
    <n v="40"/>
    <x v="2"/>
    <x v="1"/>
    <n v="30"/>
    <n v="60"/>
  </r>
  <r>
    <n v="124"/>
    <d v="2023-10-27T00:00:00"/>
    <s v="CUST124"/>
    <s v="Male"/>
    <n v="33"/>
    <x v="1"/>
    <x v="3"/>
    <n v="500"/>
    <n v="2000"/>
  </r>
  <r>
    <n v="125"/>
    <d v="2023-08-08T00:00:00"/>
    <s v="CUST125"/>
    <s v="Male"/>
    <n v="48"/>
    <x v="1"/>
    <x v="1"/>
    <n v="50"/>
    <n v="100"/>
  </r>
  <r>
    <n v="126"/>
    <d v="2023-10-26T00:00:00"/>
    <s v="CUST126"/>
    <s v="Female"/>
    <n v="28"/>
    <x v="1"/>
    <x v="0"/>
    <n v="30"/>
    <n v="90"/>
  </r>
  <r>
    <n v="127"/>
    <d v="2023-07-24T00:00:00"/>
    <s v="CUST127"/>
    <s v="Female"/>
    <n v="33"/>
    <x v="1"/>
    <x v="1"/>
    <n v="25"/>
    <n v="50"/>
  </r>
  <r>
    <n v="128"/>
    <d v="2023-07-05T00:00:00"/>
    <s v="CUST128"/>
    <s v="Male"/>
    <n v="25"/>
    <x v="0"/>
    <x v="2"/>
    <n v="500"/>
    <n v="500"/>
  </r>
  <r>
    <n v="129"/>
    <d v="2023-04-23T00:00:00"/>
    <s v="CUST129"/>
    <s v="Female"/>
    <n v="21"/>
    <x v="0"/>
    <x v="1"/>
    <n v="300"/>
    <n v="600"/>
  </r>
  <r>
    <n v="130"/>
    <d v="2023-03-12T00:00:00"/>
    <s v="CUST130"/>
    <s v="Female"/>
    <n v="57"/>
    <x v="1"/>
    <x v="2"/>
    <n v="500"/>
    <n v="500"/>
  </r>
  <r>
    <n v="131"/>
    <d v="2023-09-18T00:00:00"/>
    <s v="CUST131"/>
    <s v="Female"/>
    <n v="21"/>
    <x v="0"/>
    <x v="1"/>
    <n v="300"/>
    <n v="600"/>
  </r>
  <r>
    <n v="132"/>
    <d v="2023-09-10T00:00:00"/>
    <s v="CUST132"/>
    <s v="Male"/>
    <n v="42"/>
    <x v="2"/>
    <x v="3"/>
    <n v="50"/>
    <n v="200"/>
  </r>
  <r>
    <n v="133"/>
    <d v="2023-02-16T00:00:00"/>
    <s v="CUST133"/>
    <s v="Male"/>
    <n v="20"/>
    <x v="2"/>
    <x v="0"/>
    <n v="300"/>
    <n v="900"/>
  </r>
  <r>
    <n v="134"/>
    <d v="2023-01-25T00:00:00"/>
    <s v="CUST134"/>
    <s v="Male"/>
    <n v="49"/>
    <x v="2"/>
    <x v="2"/>
    <n v="50"/>
    <n v="50"/>
  </r>
  <r>
    <n v="135"/>
    <d v="2023-02-26T00:00:00"/>
    <s v="CUST135"/>
    <s v="Male"/>
    <n v="20"/>
    <x v="1"/>
    <x v="1"/>
    <n v="25"/>
    <n v="50"/>
  </r>
  <r>
    <n v="136"/>
    <d v="2023-03-20T00:00:00"/>
    <s v="CUST136"/>
    <s v="Male"/>
    <n v="44"/>
    <x v="2"/>
    <x v="1"/>
    <n v="300"/>
    <n v="600"/>
  </r>
  <r>
    <n v="137"/>
    <d v="2023-11-18T00:00:00"/>
    <s v="CUST137"/>
    <s v="Male"/>
    <n v="46"/>
    <x v="0"/>
    <x v="1"/>
    <n v="500"/>
    <n v="1000"/>
  </r>
  <r>
    <n v="138"/>
    <d v="2023-03-23T00:00:00"/>
    <s v="CUST138"/>
    <s v="Male"/>
    <n v="49"/>
    <x v="1"/>
    <x v="3"/>
    <n v="50"/>
    <n v="200"/>
  </r>
  <r>
    <n v="139"/>
    <d v="2023-12-15T00:00:00"/>
    <s v="CUST139"/>
    <s v="Male"/>
    <n v="36"/>
    <x v="0"/>
    <x v="3"/>
    <n v="500"/>
    <n v="2000"/>
  </r>
  <r>
    <n v="140"/>
    <d v="2023-08-05T00:00:00"/>
    <s v="CUST140"/>
    <s v="Male"/>
    <n v="38"/>
    <x v="2"/>
    <x v="2"/>
    <n v="30"/>
    <n v="30"/>
  </r>
  <r>
    <n v="141"/>
    <d v="2023-11-02T00:00:00"/>
    <s v="CUST141"/>
    <s v="Female"/>
    <n v="22"/>
    <x v="2"/>
    <x v="2"/>
    <n v="50"/>
    <n v="50"/>
  </r>
  <r>
    <n v="142"/>
    <d v="2023-02-02T00:00:00"/>
    <s v="CUST142"/>
    <s v="Male"/>
    <n v="35"/>
    <x v="2"/>
    <x v="3"/>
    <n v="300"/>
    <n v="1200"/>
  </r>
  <r>
    <n v="143"/>
    <d v="2023-07-17T00:00:00"/>
    <s v="CUST143"/>
    <s v="Female"/>
    <n v="45"/>
    <x v="1"/>
    <x v="2"/>
    <n v="50"/>
    <n v="50"/>
  </r>
  <r>
    <n v="144"/>
    <d v="2023-07-15T00:00:00"/>
    <s v="CUST144"/>
    <s v="Female"/>
    <n v="59"/>
    <x v="0"/>
    <x v="0"/>
    <n v="500"/>
    <n v="1500"/>
  </r>
  <r>
    <n v="145"/>
    <d v="2023-11-02T00:00:00"/>
    <s v="CUST145"/>
    <s v="Female"/>
    <n v="39"/>
    <x v="1"/>
    <x v="0"/>
    <n v="25"/>
    <n v="75"/>
  </r>
  <r>
    <n v="146"/>
    <d v="2023-08-28T00:00:00"/>
    <s v="CUST146"/>
    <s v="Male"/>
    <n v="38"/>
    <x v="1"/>
    <x v="3"/>
    <n v="50"/>
    <n v="200"/>
  </r>
  <r>
    <n v="147"/>
    <d v="2023-09-28T00:00:00"/>
    <s v="CUST147"/>
    <s v="Male"/>
    <n v="23"/>
    <x v="2"/>
    <x v="2"/>
    <n v="300"/>
    <n v="300"/>
  </r>
  <r>
    <n v="148"/>
    <d v="2023-05-09T00:00:00"/>
    <s v="CUST148"/>
    <s v="Male"/>
    <n v="18"/>
    <x v="1"/>
    <x v="1"/>
    <n v="30"/>
    <n v="60"/>
  </r>
  <r>
    <n v="149"/>
    <d v="2023-10-11T00:00:00"/>
    <s v="CUST149"/>
    <s v="Male"/>
    <n v="22"/>
    <x v="1"/>
    <x v="0"/>
    <n v="25"/>
    <n v="75"/>
  </r>
  <r>
    <n v="150"/>
    <d v="2023-01-06T00:00:00"/>
    <s v="CUST150"/>
    <s v="Female"/>
    <n v="58"/>
    <x v="2"/>
    <x v="3"/>
    <n v="30"/>
    <n v="120"/>
  </r>
  <r>
    <n v="151"/>
    <d v="2023-12-15T00:00:00"/>
    <s v="CUST151"/>
    <s v="Male"/>
    <n v="29"/>
    <x v="1"/>
    <x v="2"/>
    <n v="50"/>
    <n v="50"/>
  </r>
  <r>
    <n v="152"/>
    <d v="2023-02-28T00:00:00"/>
    <s v="CUST152"/>
    <s v="Male"/>
    <n v="43"/>
    <x v="2"/>
    <x v="3"/>
    <n v="500"/>
    <n v="2000"/>
  </r>
  <r>
    <n v="153"/>
    <d v="2023-12-16T00:00:00"/>
    <s v="CUST153"/>
    <s v="Male"/>
    <n v="63"/>
    <x v="2"/>
    <x v="1"/>
    <n v="500"/>
    <n v="1000"/>
  </r>
  <r>
    <n v="154"/>
    <d v="2023-10-02T00:00:00"/>
    <s v="CUST154"/>
    <s v="Male"/>
    <n v="51"/>
    <x v="2"/>
    <x v="0"/>
    <n v="300"/>
    <n v="900"/>
  </r>
  <r>
    <n v="155"/>
    <d v="2023-05-17T00:00:00"/>
    <s v="CUST155"/>
    <s v="Male"/>
    <n v="31"/>
    <x v="2"/>
    <x v="3"/>
    <n v="500"/>
    <n v="2000"/>
  </r>
  <r>
    <n v="156"/>
    <d v="2023-11-25T00:00:00"/>
    <s v="CUST156"/>
    <s v="Female"/>
    <n v="43"/>
    <x v="1"/>
    <x v="3"/>
    <n v="25"/>
    <n v="100"/>
  </r>
  <r>
    <n v="157"/>
    <d v="2023-06-24T00:00:00"/>
    <s v="CUST157"/>
    <s v="Male"/>
    <n v="62"/>
    <x v="2"/>
    <x v="3"/>
    <n v="500"/>
    <n v="2000"/>
  </r>
  <r>
    <n v="158"/>
    <d v="2023-02-27T00:00:00"/>
    <s v="CUST158"/>
    <s v="Female"/>
    <n v="44"/>
    <x v="2"/>
    <x v="1"/>
    <n v="300"/>
    <n v="600"/>
  </r>
  <r>
    <n v="159"/>
    <d v="2023-05-31T00:00:00"/>
    <s v="CUST159"/>
    <s v="Male"/>
    <n v="26"/>
    <x v="1"/>
    <x v="3"/>
    <n v="50"/>
    <n v="200"/>
  </r>
  <r>
    <n v="160"/>
    <d v="2023-08-11T00:00:00"/>
    <s v="CUST160"/>
    <s v="Female"/>
    <n v="43"/>
    <x v="1"/>
    <x v="1"/>
    <n v="50"/>
    <n v="100"/>
  </r>
  <r>
    <n v="161"/>
    <d v="2023-03-22T00:00:00"/>
    <s v="CUST161"/>
    <s v="Male"/>
    <n v="64"/>
    <x v="0"/>
    <x v="1"/>
    <n v="500"/>
    <n v="1000"/>
  </r>
  <r>
    <n v="162"/>
    <d v="2023-08-21T00:00:00"/>
    <s v="CUST162"/>
    <s v="Male"/>
    <n v="39"/>
    <x v="1"/>
    <x v="1"/>
    <n v="30"/>
    <n v="60"/>
  </r>
  <r>
    <n v="163"/>
    <d v="2023-01-02T00:00:00"/>
    <s v="CUST163"/>
    <s v="Female"/>
    <n v="64"/>
    <x v="1"/>
    <x v="0"/>
    <n v="50"/>
    <n v="150"/>
  </r>
  <r>
    <n v="164"/>
    <d v="2023-05-15T00:00:00"/>
    <s v="CUST164"/>
    <s v="Female"/>
    <n v="47"/>
    <x v="0"/>
    <x v="0"/>
    <n v="500"/>
    <n v="1500"/>
  </r>
  <r>
    <n v="165"/>
    <d v="2023-09-14T00:00:00"/>
    <s v="CUST165"/>
    <s v="Female"/>
    <n v="60"/>
    <x v="1"/>
    <x v="3"/>
    <n v="300"/>
    <n v="1200"/>
  </r>
  <r>
    <n v="166"/>
    <d v="2023-04-02T00:00:00"/>
    <s v="CUST166"/>
    <s v="Male"/>
    <n v="34"/>
    <x v="1"/>
    <x v="3"/>
    <n v="500"/>
    <n v="2000"/>
  </r>
  <r>
    <n v="167"/>
    <d v="2023-09-17T00:00:00"/>
    <s v="CUST167"/>
    <s v="Female"/>
    <n v="43"/>
    <x v="1"/>
    <x v="0"/>
    <n v="50"/>
    <n v="150"/>
  </r>
  <r>
    <n v="168"/>
    <d v="2023-02-24T00:00:00"/>
    <s v="CUST168"/>
    <s v="Male"/>
    <n v="53"/>
    <x v="1"/>
    <x v="2"/>
    <n v="300"/>
    <n v="300"/>
  </r>
  <r>
    <n v="169"/>
    <d v="2023-11-17T00:00:00"/>
    <s v="CUST169"/>
    <s v="Male"/>
    <n v="18"/>
    <x v="0"/>
    <x v="0"/>
    <n v="500"/>
    <n v="1500"/>
  </r>
  <r>
    <n v="170"/>
    <d v="2023-06-02T00:00:00"/>
    <s v="CUST170"/>
    <s v="Female"/>
    <n v="25"/>
    <x v="1"/>
    <x v="1"/>
    <n v="25"/>
    <n v="50"/>
  </r>
  <r>
    <n v="171"/>
    <d v="2023-11-24T00:00:00"/>
    <s v="CUST171"/>
    <s v="Female"/>
    <n v="52"/>
    <x v="1"/>
    <x v="0"/>
    <n v="300"/>
    <n v="900"/>
  </r>
  <r>
    <n v="172"/>
    <d v="2023-09-17T00:00:00"/>
    <s v="CUST172"/>
    <s v="Male"/>
    <n v="32"/>
    <x v="0"/>
    <x v="1"/>
    <n v="25"/>
    <n v="50"/>
  </r>
  <r>
    <n v="173"/>
    <d v="2023-11-08T00:00:00"/>
    <s v="CUST173"/>
    <s v="Male"/>
    <n v="64"/>
    <x v="2"/>
    <x v="3"/>
    <n v="30"/>
    <n v="120"/>
  </r>
  <r>
    <n v="174"/>
    <d v="2023-04-12T00:00:00"/>
    <s v="CUST174"/>
    <s v="Female"/>
    <n v="39"/>
    <x v="0"/>
    <x v="2"/>
    <n v="300"/>
    <n v="300"/>
  </r>
  <r>
    <n v="175"/>
    <d v="2023-03-20T00:00:00"/>
    <s v="CUST175"/>
    <s v="Female"/>
    <n v="31"/>
    <x v="2"/>
    <x v="3"/>
    <n v="25"/>
    <n v="100"/>
  </r>
  <r>
    <n v="176"/>
    <d v="2023-07-11T00:00:00"/>
    <s v="CUST176"/>
    <s v="Female"/>
    <n v="43"/>
    <x v="0"/>
    <x v="1"/>
    <n v="50"/>
    <n v="100"/>
  </r>
  <r>
    <n v="177"/>
    <d v="2023-03-24T00:00:00"/>
    <s v="CUST177"/>
    <s v="Male"/>
    <n v="45"/>
    <x v="0"/>
    <x v="1"/>
    <n v="50"/>
    <n v="100"/>
  </r>
  <r>
    <n v="178"/>
    <d v="2023-10-04T00:00:00"/>
    <s v="CUST178"/>
    <s v="Male"/>
    <n v="40"/>
    <x v="1"/>
    <x v="1"/>
    <n v="30"/>
    <n v="60"/>
  </r>
  <r>
    <n v="179"/>
    <d v="2023-09-29T00:00:00"/>
    <s v="CUST179"/>
    <s v="Male"/>
    <n v="31"/>
    <x v="2"/>
    <x v="2"/>
    <n v="300"/>
    <n v="300"/>
  </r>
  <r>
    <n v="180"/>
    <d v="2023-01-01T00:00:00"/>
    <s v="CUST180"/>
    <s v="Male"/>
    <n v="41"/>
    <x v="1"/>
    <x v="0"/>
    <n v="300"/>
    <n v="900"/>
  </r>
  <r>
    <n v="181"/>
    <d v="2023-11-03T00:00:00"/>
    <s v="CUST181"/>
    <s v="Male"/>
    <n v="19"/>
    <x v="2"/>
    <x v="3"/>
    <n v="300"/>
    <n v="1200"/>
  </r>
  <r>
    <n v="182"/>
    <d v="2023-06-15T00:00:00"/>
    <s v="CUST182"/>
    <s v="Male"/>
    <n v="62"/>
    <x v="0"/>
    <x v="3"/>
    <n v="30"/>
    <n v="120"/>
  </r>
  <r>
    <n v="183"/>
    <d v="2023-09-08T00:00:00"/>
    <s v="CUST183"/>
    <s v="Female"/>
    <n v="43"/>
    <x v="0"/>
    <x v="0"/>
    <n v="300"/>
    <n v="900"/>
  </r>
  <r>
    <n v="184"/>
    <d v="2023-01-10T00:00:00"/>
    <s v="CUST184"/>
    <s v="Male"/>
    <n v="31"/>
    <x v="2"/>
    <x v="3"/>
    <n v="50"/>
    <n v="200"/>
  </r>
  <r>
    <n v="185"/>
    <d v="2023-02-27T00:00:00"/>
    <s v="CUST185"/>
    <s v="Male"/>
    <n v="24"/>
    <x v="1"/>
    <x v="2"/>
    <n v="25"/>
    <n v="25"/>
  </r>
  <r>
    <n v="186"/>
    <d v="2023-07-05T00:00:00"/>
    <s v="CUST186"/>
    <s v="Male"/>
    <n v="20"/>
    <x v="1"/>
    <x v="3"/>
    <n v="50"/>
    <n v="200"/>
  </r>
  <r>
    <n v="187"/>
    <d v="2023-06-07T00:00:00"/>
    <s v="CUST187"/>
    <s v="Female"/>
    <n v="64"/>
    <x v="1"/>
    <x v="1"/>
    <n v="50"/>
    <n v="100"/>
  </r>
  <r>
    <n v="188"/>
    <d v="2023-05-03T00:00:00"/>
    <s v="CUST188"/>
    <s v="Male"/>
    <n v="40"/>
    <x v="1"/>
    <x v="0"/>
    <n v="25"/>
    <n v="75"/>
  </r>
  <r>
    <n v="189"/>
    <d v="2023-01-30T00:00:00"/>
    <s v="CUST189"/>
    <s v="Male"/>
    <n v="63"/>
    <x v="0"/>
    <x v="2"/>
    <n v="50"/>
    <n v="50"/>
  </r>
  <r>
    <n v="190"/>
    <d v="2023-05-04T00:00:00"/>
    <s v="CUST190"/>
    <s v="Female"/>
    <n v="60"/>
    <x v="0"/>
    <x v="0"/>
    <n v="30"/>
    <n v="90"/>
  </r>
  <r>
    <n v="191"/>
    <d v="2023-10-18T00:00:00"/>
    <s v="CUST191"/>
    <s v="Male"/>
    <n v="64"/>
    <x v="0"/>
    <x v="2"/>
    <n v="25"/>
    <n v="25"/>
  </r>
  <r>
    <n v="192"/>
    <d v="2023-02-10T00:00:00"/>
    <s v="CUST192"/>
    <s v="Male"/>
    <n v="62"/>
    <x v="0"/>
    <x v="1"/>
    <n v="50"/>
    <n v="100"/>
  </r>
  <r>
    <n v="193"/>
    <d v="2023-02-13T00:00:00"/>
    <s v="CUST193"/>
    <s v="Male"/>
    <n v="35"/>
    <x v="0"/>
    <x v="0"/>
    <n v="500"/>
    <n v="1500"/>
  </r>
  <r>
    <n v="194"/>
    <d v="2023-09-06T00:00:00"/>
    <s v="CUST194"/>
    <s v="Male"/>
    <n v="55"/>
    <x v="1"/>
    <x v="3"/>
    <n v="50"/>
    <n v="200"/>
  </r>
  <r>
    <n v="195"/>
    <d v="2023-02-05T00:00:00"/>
    <s v="CUST195"/>
    <s v="Male"/>
    <n v="52"/>
    <x v="1"/>
    <x v="2"/>
    <n v="30"/>
    <n v="30"/>
  </r>
  <r>
    <n v="196"/>
    <d v="2023-09-30T00:00:00"/>
    <s v="CUST196"/>
    <s v="Female"/>
    <n v="32"/>
    <x v="1"/>
    <x v="0"/>
    <n v="300"/>
    <n v="900"/>
  </r>
  <r>
    <n v="197"/>
    <d v="2023-03-06T00:00:00"/>
    <s v="CUST197"/>
    <s v="Female"/>
    <n v="42"/>
    <x v="1"/>
    <x v="3"/>
    <n v="50"/>
    <n v="200"/>
  </r>
  <r>
    <n v="198"/>
    <d v="2023-03-07T00:00:00"/>
    <s v="CUST198"/>
    <s v="Female"/>
    <n v="54"/>
    <x v="0"/>
    <x v="0"/>
    <n v="300"/>
    <n v="900"/>
  </r>
  <r>
    <n v="199"/>
    <d v="2023-12-04T00:00:00"/>
    <s v="CUST199"/>
    <s v="Male"/>
    <n v="45"/>
    <x v="0"/>
    <x v="0"/>
    <n v="500"/>
    <n v="1500"/>
  </r>
  <r>
    <n v="200"/>
    <d v="2023-09-01T00:00:00"/>
    <s v="CUST200"/>
    <s v="Male"/>
    <n v="27"/>
    <x v="0"/>
    <x v="0"/>
    <n v="50"/>
    <n v="150"/>
  </r>
  <r>
    <n v="201"/>
    <d v="2023-10-09T00:00:00"/>
    <s v="CUST201"/>
    <s v="Male"/>
    <n v="56"/>
    <x v="2"/>
    <x v="2"/>
    <n v="25"/>
    <n v="25"/>
  </r>
  <r>
    <n v="202"/>
    <d v="2023-03-26T00:00:00"/>
    <s v="CUST202"/>
    <s v="Female"/>
    <n v="34"/>
    <x v="1"/>
    <x v="3"/>
    <n v="300"/>
    <n v="1200"/>
  </r>
  <r>
    <n v="203"/>
    <d v="2023-05-16T00:00:00"/>
    <s v="CUST203"/>
    <s v="Male"/>
    <n v="56"/>
    <x v="1"/>
    <x v="1"/>
    <n v="500"/>
    <n v="1000"/>
  </r>
  <r>
    <n v="204"/>
    <d v="2023-09-28T00:00:00"/>
    <s v="CUST204"/>
    <s v="Male"/>
    <n v="39"/>
    <x v="0"/>
    <x v="2"/>
    <n v="25"/>
    <n v="25"/>
  </r>
  <r>
    <n v="205"/>
    <d v="2023-11-07T00:00:00"/>
    <s v="CUST205"/>
    <s v="Female"/>
    <n v="43"/>
    <x v="1"/>
    <x v="2"/>
    <n v="25"/>
    <n v="25"/>
  </r>
  <r>
    <n v="206"/>
    <d v="2023-08-05T00:00:00"/>
    <s v="CUST206"/>
    <s v="Male"/>
    <n v="61"/>
    <x v="1"/>
    <x v="2"/>
    <n v="25"/>
    <n v="25"/>
  </r>
  <r>
    <n v="207"/>
    <d v="2023-04-19T00:00:00"/>
    <s v="CUST207"/>
    <s v="Female"/>
    <n v="42"/>
    <x v="0"/>
    <x v="1"/>
    <n v="25"/>
    <n v="50"/>
  </r>
  <r>
    <n v="208"/>
    <d v="2023-10-04T00:00:00"/>
    <s v="CUST208"/>
    <s v="Female"/>
    <n v="34"/>
    <x v="2"/>
    <x v="3"/>
    <n v="50"/>
    <n v="200"/>
  </r>
  <r>
    <n v="209"/>
    <d v="2023-12-20T00:00:00"/>
    <s v="CUST209"/>
    <s v="Female"/>
    <n v="30"/>
    <x v="2"/>
    <x v="3"/>
    <n v="50"/>
    <n v="200"/>
  </r>
  <r>
    <n v="210"/>
    <d v="2023-04-13T00:00:00"/>
    <s v="CUST210"/>
    <s v="Male"/>
    <n v="37"/>
    <x v="2"/>
    <x v="3"/>
    <n v="50"/>
    <n v="200"/>
  </r>
  <r>
    <n v="211"/>
    <d v="2024-01-01T00:00:00"/>
    <s v="CUST211"/>
    <s v="Male"/>
    <n v="42"/>
    <x v="0"/>
    <x v="0"/>
    <n v="500"/>
    <n v="1500"/>
  </r>
  <r>
    <n v="212"/>
    <d v="2023-06-09T00:00:00"/>
    <s v="CUST212"/>
    <s v="Male"/>
    <n v="21"/>
    <x v="1"/>
    <x v="0"/>
    <n v="500"/>
    <n v="1500"/>
  </r>
  <r>
    <n v="213"/>
    <d v="2023-07-24T00:00:00"/>
    <s v="CUST213"/>
    <s v="Male"/>
    <n v="27"/>
    <x v="0"/>
    <x v="0"/>
    <n v="500"/>
    <n v="1500"/>
  </r>
  <r>
    <n v="214"/>
    <d v="2023-12-10T00:00:00"/>
    <s v="CUST214"/>
    <s v="Male"/>
    <n v="20"/>
    <x v="0"/>
    <x v="1"/>
    <n v="30"/>
    <n v="60"/>
  </r>
  <r>
    <n v="215"/>
    <d v="2023-11-29T00:00:00"/>
    <s v="CUST215"/>
    <s v="Male"/>
    <n v="58"/>
    <x v="1"/>
    <x v="0"/>
    <n v="500"/>
    <n v="1500"/>
  </r>
  <r>
    <n v="216"/>
    <d v="2023-07-11T00:00:00"/>
    <s v="CUST216"/>
    <s v="Male"/>
    <n v="62"/>
    <x v="2"/>
    <x v="1"/>
    <n v="50"/>
    <n v="100"/>
  </r>
  <r>
    <n v="217"/>
    <d v="2023-08-13T00:00:00"/>
    <s v="CUST217"/>
    <s v="Female"/>
    <n v="35"/>
    <x v="2"/>
    <x v="3"/>
    <n v="50"/>
    <n v="200"/>
  </r>
  <r>
    <n v="218"/>
    <d v="2023-09-22T00:00:00"/>
    <s v="CUST218"/>
    <s v="Male"/>
    <n v="64"/>
    <x v="0"/>
    <x v="0"/>
    <n v="30"/>
    <n v="90"/>
  </r>
  <r>
    <n v="219"/>
    <d v="2023-08-20T00:00:00"/>
    <s v="CUST219"/>
    <s v="Female"/>
    <n v="53"/>
    <x v="2"/>
    <x v="0"/>
    <n v="30"/>
    <n v="90"/>
  </r>
  <r>
    <n v="220"/>
    <d v="2023-03-03T00:00:00"/>
    <s v="CUST220"/>
    <s v="Male"/>
    <n v="64"/>
    <x v="0"/>
    <x v="2"/>
    <n v="500"/>
    <n v="500"/>
  </r>
  <r>
    <n v="221"/>
    <d v="2023-05-07T00:00:00"/>
    <s v="CUST221"/>
    <s v="Male"/>
    <n v="39"/>
    <x v="0"/>
    <x v="1"/>
    <n v="300"/>
    <n v="600"/>
  </r>
  <r>
    <n v="222"/>
    <d v="2023-04-26T00:00:00"/>
    <s v="CUST222"/>
    <s v="Male"/>
    <n v="51"/>
    <x v="1"/>
    <x v="3"/>
    <n v="30"/>
    <n v="120"/>
  </r>
  <r>
    <n v="223"/>
    <d v="2023-02-02T00:00:00"/>
    <s v="CUST223"/>
    <s v="Female"/>
    <n v="64"/>
    <x v="1"/>
    <x v="2"/>
    <n v="25"/>
    <n v="25"/>
  </r>
  <r>
    <n v="224"/>
    <d v="2023-06-23T00:00:00"/>
    <s v="CUST224"/>
    <s v="Female"/>
    <n v="25"/>
    <x v="1"/>
    <x v="2"/>
    <n v="50"/>
    <n v="50"/>
  </r>
  <r>
    <n v="225"/>
    <d v="2023-01-11T00:00:00"/>
    <s v="CUST225"/>
    <s v="Female"/>
    <n v="57"/>
    <x v="0"/>
    <x v="3"/>
    <n v="25"/>
    <n v="100"/>
  </r>
  <r>
    <n v="226"/>
    <d v="2023-10-29T00:00:00"/>
    <s v="CUST226"/>
    <s v="Female"/>
    <n v="61"/>
    <x v="1"/>
    <x v="2"/>
    <n v="50"/>
    <n v="50"/>
  </r>
  <r>
    <n v="227"/>
    <d v="2023-10-11T00:00:00"/>
    <s v="CUST227"/>
    <s v="Male"/>
    <n v="36"/>
    <x v="2"/>
    <x v="1"/>
    <n v="50"/>
    <n v="100"/>
  </r>
  <r>
    <n v="228"/>
    <d v="2023-04-28T00:00:00"/>
    <s v="CUST228"/>
    <s v="Female"/>
    <n v="59"/>
    <x v="2"/>
    <x v="1"/>
    <n v="30"/>
    <n v="60"/>
  </r>
  <r>
    <n v="229"/>
    <d v="2023-10-29T00:00:00"/>
    <s v="CUST229"/>
    <s v="Male"/>
    <n v="58"/>
    <x v="0"/>
    <x v="0"/>
    <n v="30"/>
    <n v="90"/>
  </r>
  <r>
    <n v="230"/>
    <d v="2023-04-23T00:00:00"/>
    <s v="CUST230"/>
    <s v="Male"/>
    <n v="54"/>
    <x v="0"/>
    <x v="2"/>
    <n v="25"/>
    <n v="25"/>
  </r>
  <r>
    <n v="231"/>
    <d v="2023-01-04T00:00:00"/>
    <s v="CUST231"/>
    <s v="Female"/>
    <n v="23"/>
    <x v="1"/>
    <x v="0"/>
    <n v="50"/>
    <n v="150"/>
  </r>
  <r>
    <n v="232"/>
    <d v="2023-02-06T00:00:00"/>
    <s v="CUST232"/>
    <s v="Female"/>
    <n v="43"/>
    <x v="0"/>
    <x v="2"/>
    <n v="25"/>
    <n v="25"/>
  </r>
  <r>
    <n v="233"/>
    <d v="2023-12-29T00:00:00"/>
    <s v="CUST233"/>
    <s v="Female"/>
    <n v="51"/>
    <x v="0"/>
    <x v="1"/>
    <n v="300"/>
    <n v="600"/>
  </r>
  <r>
    <n v="234"/>
    <d v="2023-11-20T00:00:00"/>
    <s v="CUST234"/>
    <s v="Female"/>
    <n v="62"/>
    <x v="2"/>
    <x v="1"/>
    <n v="25"/>
    <n v="50"/>
  </r>
  <r>
    <n v="235"/>
    <d v="2023-01-31T00:00:00"/>
    <s v="CUST235"/>
    <s v="Female"/>
    <n v="23"/>
    <x v="2"/>
    <x v="1"/>
    <n v="500"/>
    <n v="1000"/>
  </r>
  <r>
    <n v="236"/>
    <d v="2023-04-28T00:00:00"/>
    <s v="CUST236"/>
    <s v="Female"/>
    <n v="54"/>
    <x v="1"/>
    <x v="2"/>
    <n v="25"/>
    <n v="25"/>
  </r>
  <r>
    <n v="237"/>
    <d v="2023-02-04T00:00:00"/>
    <s v="CUST237"/>
    <s v="Female"/>
    <n v="50"/>
    <x v="0"/>
    <x v="1"/>
    <n v="500"/>
    <n v="1000"/>
  </r>
  <r>
    <n v="238"/>
    <d v="2023-01-17T00:00:00"/>
    <s v="CUST238"/>
    <s v="Female"/>
    <n v="39"/>
    <x v="0"/>
    <x v="2"/>
    <n v="500"/>
    <n v="500"/>
  </r>
  <r>
    <n v="239"/>
    <d v="2023-06-19T00:00:00"/>
    <s v="CUST239"/>
    <s v="Male"/>
    <n v="38"/>
    <x v="2"/>
    <x v="0"/>
    <n v="500"/>
    <n v="1500"/>
  </r>
  <r>
    <n v="240"/>
    <d v="2023-02-06T00:00:00"/>
    <s v="CUST240"/>
    <s v="Female"/>
    <n v="23"/>
    <x v="0"/>
    <x v="2"/>
    <n v="300"/>
    <n v="300"/>
  </r>
  <r>
    <n v="241"/>
    <d v="2023-09-21T00:00:00"/>
    <s v="CUST241"/>
    <s v="Female"/>
    <n v="23"/>
    <x v="2"/>
    <x v="0"/>
    <n v="25"/>
    <n v="75"/>
  </r>
  <r>
    <n v="242"/>
    <d v="2023-05-02T00:00:00"/>
    <s v="CUST242"/>
    <s v="Male"/>
    <n v="21"/>
    <x v="1"/>
    <x v="2"/>
    <n v="25"/>
    <n v="25"/>
  </r>
  <r>
    <n v="243"/>
    <d v="2023-05-23T00:00:00"/>
    <s v="CUST243"/>
    <s v="Female"/>
    <n v="47"/>
    <x v="2"/>
    <x v="0"/>
    <n v="300"/>
    <n v="900"/>
  </r>
  <r>
    <n v="244"/>
    <d v="2023-12-09T00:00:00"/>
    <s v="CUST244"/>
    <s v="Male"/>
    <n v="28"/>
    <x v="0"/>
    <x v="1"/>
    <n v="50"/>
    <n v="100"/>
  </r>
  <r>
    <n v="245"/>
    <d v="2023-09-06T00:00:00"/>
    <s v="CUST245"/>
    <s v="Male"/>
    <n v="47"/>
    <x v="1"/>
    <x v="0"/>
    <n v="30"/>
    <n v="90"/>
  </r>
  <r>
    <n v="246"/>
    <d v="2023-04-20T00:00:00"/>
    <s v="CUST246"/>
    <s v="Female"/>
    <n v="48"/>
    <x v="2"/>
    <x v="1"/>
    <n v="25"/>
    <n v="50"/>
  </r>
  <r>
    <n v="247"/>
    <d v="2023-10-04T00:00:00"/>
    <s v="CUST247"/>
    <s v="Male"/>
    <n v="41"/>
    <x v="2"/>
    <x v="1"/>
    <n v="30"/>
    <n v="60"/>
  </r>
  <r>
    <n v="248"/>
    <d v="2023-03-09T00:00:00"/>
    <s v="CUST248"/>
    <s v="Male"/>
    <n v="26"/>
    <x v="1"/>
    <x v="0"/>
    <n v="300"/>
    <n v="900"/>
  </r>
  <r>
    <n v="249"/>
    <d v="2023-10-20T00:00:00"/>
    <s v="CUST249"/>
    <s v="Male"/>
    <n v="20"/>
    <x v="1"/>
    <x v="2"/>
    <n v="50"/>
    <n v="50"/>
  </r>
  <r>
    <n v="250"/>
    <d v="2023-10-23T00:00:00"/>
    <s v="CUST250"/>
    <s v="Male"/>
    <n v="48"/>
    <x v="2"/>
    <x v="2"/>
    <n v="50"/>
    <n v="50"/>
  </r>
  <r>
    <n v="251"/>
    <d v="2023-08-31T00:00:00"/>
    <s v="CUST251"/>
    <s v="Female"/>
    <n v="57"/>
    <x v="0"/>
    <x v="3"/>
    <n v="50"/>
    <n v="200"/>
  </r>
  <r>
    <n v="252"/>
    <d v="2023-05-05T00:00:00"/>
    <s v="CUST252"/>
    <s v="Male"/>
    <n v="54"/>
    <x v="2"/>
    <x v="2"/>
    <n v="300"/>
    <n v="300"/>
  </r>
  <r>
    <n v="253"/>
    <d v="2023-08-31T00:00:00"/>
    <s v="CUST253"/>
    <s v="Female"/>
    <n v="53"/>
    <x v="1"/>
    <x v="3"/>
    <n v="500"/>
    <n v="2000"/>
  </r>
  <r>
    <n v="254"/>
    <d v="2023-07-28T00:00:00"/>
    <s v="CUST254"/>
    <s v="Male"/>
    <n v="41"/>
    <x v="2"/>
    <x v="2"/>
    <n v="500"/>
    <n v="500"/>
  </r>
  <r>
    <n v="255"/>
    <d v="2023-04-08T00:00:00"/>
    <s v="CUST255"/>
    <s v="Male"/>
    <n v="48"/>
    <x v="1"/>
    <x v="2"/>
    <n v="30"/>
    <n v="30"/>
  </r>
  <r>
    <n v="256"/>
    <d v="2023-02-18T00:00:00"/>
    <s v="CUST256"/>
    <s v="Male"/>
    <n v="23"/>
    <x v="1"/>
    <x v="1"/>
    <n v="500"/>
    <n v="1000"/>
  </r>
  <r>
    <n v="257"/>
    <d v="2023-02-19T00:00:00"/>
    <s v="CUST257"/>
    <s v="Male"/>
    <n v="19"/>
    <x v="0"/>
    <x v="3"/>
    <n v="500"/>
    <n v="2000"/>
  </r>
  <r>
    <n v="258"/>
    <d v="2023-12-04T00:00:00"/>
    <s v="CUST258"/>
    <s v="Female"/>
    <n v="37"/>
    <x v="1"/>
    <x v="2"/>
    <n v="50"/>
    <n v="50"/>
  </r>
  <r>
    <n v="259"/>
    <d v="2023-08-09T00:00:00"/>
    <s v="CUST259"/>
    <s v="Female"/>
    <n v="45"/>
    <x v="1"/>
    <x v="3"/>
    <n v="50"/>
    <n v="200"/>
  </r>
  <r>
    <n v="260"/>
    <d v="2023-07-01T00:00:00"/>
    <s v="CUST260"/>
    <s v="Male"/>
    <n v="28"/>
    <x v="0"/>
    <x v="1"/>
    <n v="30"/>
    <n v="60"/>
  </r>
  <r>
    <n v="261"/>
    <d v="2023-08-05T00:00:00"/>
    <s v="CUST261"/>
    <s v="Male"/>
    <n v="21"/>
    <x v="1"/>
    <x v="1"/>
    <n v="25"/>
    <n v="50"/>
  </r>
  <r>
    <n v="262"/>
    <d v="2023-07-30T00:00:00"/>
    <s v="CUST262"/>
    <s v="Female"/>
    <n v="32"/>
    <x v="0"/>
    <x v="3"/>
    <n v="30"/>
    <n v="120"/>
  </r>
  <r>
    <n v="263"/>
    <d v="2023-08-28T00:00:00"/>
    <s v="CUST263"/>
    <s v="Male"/>
    <n v="23"/>
    <x v="0"/>
    <x v="1"/>
    <n v="30"/>
    <n v="60"/>
  </r>
  <r>
    <n v="264"/>
    <d v="2023-01-28T00:00:00"/>
    <s v="CUST264"/>
    <s v="Male"/>
    <n v="47"/>
    <x v="1"/>
    <x v="0"/>
    <n v="300"/>
    <n v="900"/>
  </r>
  <r>
    <n v="265"/>
    <d v="2023-12-11T00:00:00"/>
    <s v="CUST265"/>
    <s v="Male"/>
    <n v="55"/>
    <x v="1"/>
    <x v="0"/>
    <n v="300"/>
    <n v="900"/>
  </r>
  <r>
    <n v="266"/>
    <d v="2023-12-01T00:00:00"/>
    <s v="CUST266"/>
    <s v="Female"/>
    <n v="19"/>
    <x v="2"/>
    <x v="1"/>
    <n v="30"/>
    <n v="60"/>
  </r>
  <r>
    <n v="267"/>
    <d v="2023-11-27T00:00:00"/>
    <s v="CUST267"/>
    <s v="Female"/>
    <n v="32"/>
    <x v="0"/>
    <x v="0"/>
    <n v="30"/>
    <n v="90"/>
  </r>
  <r>
    <n v="268"/>
    <d v="2023-02-20T00:00:00"/>
    <s v="CUST268"/>
    <s v="Female"/>
    <n v="28"/>
    <x v="2"/>
    <x v="2"/>
    <n v="30"/>
    <n v="30"/>
  </r>
  <r>
    <n v="269"/>
    <d v="2023-02-01T00:00:00"/>
    <s v="CUST269"/>
    <s v="Male"/>
    <n v="25"/>
    <x v="1"/>
    <x v="3"/>
    <n v="500"/>
    <n v="2000"/>
  </r>
  <r>
    <n v="270"/>
    <d v="2023-07-26T00:00:00"/>
    <s v="CUST270"/>
    <s v="Male"/>
    <n v="43"/>
    <x v="2"/>
    <x v="2"/>
    <n v="300"/>
    <n v="300"/>
  </r>
  <r>
    <n v="271"/>
    <d v="2023-06-23T00:00:00"/>
    <s v="CUST271"/>
    <s v="Female"/>
    <n v="62"/>
    <x v="0"/>
    <x v="3"/>
    <n v="30"/>
    <n v="120"/>
  </r>
  <r>
    <n v="272"/>
    <d v="2023-02-25T00:00:00"/>
    <s v="CUST272"/>
    <s v="Female"/>
    <n v="61"/>
    <x v="2"/>
    <x v="1"/>
    <n v="50"/>
    <n v="100"/>
  </r>
  <r>
    <n v="273"/>
    <d v="2023-05-08T00:00:00"/>
    <s v="CUST273"/>
    <s v="Female"/>
    <n v="22"/>
    <x v="0"/>
    <x v="2"/>
    <n v="50"/>
    <n v="50"/>
  </r>
  <r>
    <n v="274"/>
    <d v="2023-04-09T00:00:00"/>
    <s v="CUST274"/>
    <s v="Female"/>
    <n v="23"/>
    <x v="1"/>
    <x v="1"/>
    <n v="500"/>
    <n v="1000"/>
  </r>
  <r>
    <n v="275"/>
    <d v="2023-04-08T00:00:00"/>
    <s v="CUST275"/>
    <s v="Male"/>
    <n v="43"/>
    <x v="1"/>
    <x v="1"/>
    <n v="500"/>
    <n v="1000"/>
  </r>
  <r>
    <n v="276"/>
    <d v="2023-10-02T00:00:00"/>
    <s v="CUST276"/>
    <s v="Female"/>
    <n v="21"/>
    <x v="0"/>
    <x v="3"/>
    <n v="25"/>
    <n v="100"/>
  </r>
  <r>
    <n v="277"/>
    <d v="2023-08-18T00:00:00"/>
    <s v="CUST277"/>
    <s v="Male"/>
    <n v="36"/>
    <x v="1"/>
    <x v="3"/>
    <n v="25"/>
    <n v="100"/>
  </r>
  <r>
    <n v="278"/>
    <d v="2023-03-13T00:00:00"/>
    <s v="CUST278"/>
    <s v="Female"/>
    <n v="37"/>
    <x v="1"/>
    <x v="3"/>
    <n v="25"/>
    <n v="100"/>
  </r>
  <r>
    <n v="279"/>
    <d v="2023-08-05T00:00:00"/>
    <s v="CUST279"/>
    <s v="Male"/>
    <n v="50"/>
    <x v="1"/>
    <x v="2"/>
    <n v="500"/>
    <n v="500"/>
  </r>
  <r>
    <n v="280"/>
    <d v="2023-04-04T00:00:00"/>
    <s v="CUST280"/>
    <s v="Female"/>
    <n v="37"/>
    <x v="1"/>
    <x v="0"/>
    <n v="500"/>
    <n v="1500"/>
  </r>
  <r>
    <n v="281"/>
    <d v="2023-05-23T00:00:00"/>
    <s v="CUST281"/>
    <s v="Female"/>
    <n v="29"/>
    <x v="0"/>
    <x v="3"/>
    <n v="500"/>
    <n v="2000"/>
  </r>
  <r>
    <n v="282"/>
    <d v="2023-08-25T00:00:00"/>
    <s v="CUST282"/>
    <s v="Female"/>
    <n v="64"/>
    <x v="2"/>
    <x v="3"/>
    <n v="50"/>
    <n v="200"/>
  </r>
  <r>
    <n v="283"/>
    <d v="2023-05-08T00:00:00"/>
    <s v="CUST283"/>
    <s v="Female"/>
    <n v="18"/>
    <x v="2"/>
    <x v="2"/>
    <n v="500"/>
    <n v="500"/>
  </r>
  <r>
    <n v="284"/>
    <d v="2023-02-08T00:00:00"/>
    <s v="CUST284"/>
    <s v="Male"/>
    <n v="43"/>
    <x v="1"/>
    <x v="3"/>
    <n v="50"/>
    <n v="200"/>
  </r>
  <r>
    <n v="285"/>
    <d v="2023-08-15T00:00:00"/>
    <s v="CUST285"/>
    <s v="Female"/>
    <n v="31"/>
    <x v="2"/>
    <x v="2"/>
    <n v="25"/>
    <n v="25"/>
  </r>
  <r>
    <n v="286"/>
    <d v="2023-10-09T00:00:00"/>
    <s v="CUST286"/>
    <s v="Male"/>
    <n v="55"/>
    <x v="2"/>
    <x v="1"/>
    <n v="25"/>
    <n v="50"/>
  </r>
  <r>
    <n v="287"/>
    <d v="2023-02-20T00:00:00"/>
    <s v="CUST287"/>
    <s v="Male"/>
    <n v="54"/>
    <x v="1"/>
    <x v="3"/>
    <n v="25"/>
    <n v="100"/>
  </r>
  <r>
    <n v="288"/>
    <d v="2023-01-26T00:00:00"/>
    <s v="CUST288"/>
    <s v="Male"/>
    <n v="28"/>
    <x v="1"/>
    <x v="3"/>
    <n v="30"/>
    <n v="120"/>
  </r>
  <r>
    <n v="289"/>
    <d v="2023-11-30T00:00:00"/>
    <s v="CUST289"/>
    <s v="Male"/>
    <n v="53"/>
    <x v="2"/>
    <x v="1"/>
    <n v="30"/>
    <n v="60"/>
  </r>
  <r>
    <n v="290"/>
    <d v="2023-10-04T00:00:00"/>
    <s v="CUST290"/>
    <s v="Female"/>
    <n v="30"/>
    <x v="0"/>
    <x v="1"/>
    <n v="300"/>
    <n v="600"/>
  </r>
  <r>
    <n v="291"/>
    <d v="2023-01-08T00:00:00"/>
    <s v="CUST291"/>
    <s v="Male"/>
    <n v="60"/>
    <x v="1"/>
    <x v="1"/>
    <n v="300"/>
    <n v="600"/>
  </r>
  <r>
    <n v="292"/>
    <d v="2023-02-17T00:00:00"/>
    <s v="CUST292"/>
    <s v="Male"/>
    <n v="20"/>
    <x v="0"/>
    <x v="3"/>
    <n v="300"/>
    <n v="1200"/>
  </r>
  <r>
    <n v="293"/>
    <d v="2023-05-02T00:00:00"/>
    <s v="CUST293"/>
    <s v="Male"/>
    <n v="50"/>
    <x v="2"/>
    <x v="0"/>
    <n v="30"/>
    <n v="90"/>
  </r>
  <r>
    <n v="294"/>
    <d v="2023-03-27T00:00:00"/>
    <s v="CUST294"/>
    <s v="Female"/>
    <n v="23"/>
    <x v="1"/>
    <x v="0"/>
    <n v="30"/>
    <n v="90"/>
  </r>
  <r>
    <n v="295"/>
    <d v="2023-07-28T00:00:00"/>
    <s v="CUST295"/>
    <s v="Female"/>
    <n v="27"/>
    <x v="0"/>
    <x v="0"/>
    <n v="300"/>
    <n v="900"/>
  </r>
  <r>
    <n v="296"/>
    <d v="2023-09-06T00:00:00"/>
    <s v="CUST296"/>
    <s v="Female"/>
    <n v="22"/>
    <x v="1"/>
    <x v="3"/>
    <n v="300"/>
    <n v="1200"/>
  </r>
  <r>
    <n v="297"/>
    <d v="2023-09-04T00:00:00"/>
    <s v="CUST297"/>
    <s v="Female"/>
    <n v="40"/>
    <x v="2"/>
    <x v="1"/>
    <n v="500"/>
    <n v="1000"/>
  </r>
  <r>
    <n v="298"/>
    <d v="2023-04-20T00:00:00"/>
    <s v="CUST298"/>
    <s v="Male"/>
    <n v="27"/>
    <x v="0"/>
    <x v="3"/>
    <n v="300"/>
    <n v="1200"/>
  </r>
  <r>
    <n v="299"/>
    <d v="2023-07-25T00:00:00"/>
    <s v="CUST299"/>
    <s v="Male"/>
    <n v="61"/>
    <x v="2"/>
    <x v="1"/>
    <n v="500"/>
    <n v="1000"/>
  </r>
  <r>
    <n v="300"/>
    <d v="2023-01-31T00:00:00"/>
    <s v="CUST300"/>
    <s v="Female"/>
    <n v="19"/>
    <x v="2"/>
    <x v="3"/>
    <n v="50"/>
    <n v="200"/>
  </r>
  <r>
    <n v="301"/>
    <d v="2023-03-26T00:00:00"/>
    <s v="CUST301"/>
    <s v="Male"/>
    <n v="30"/>
    <x v="1"/>
    <x v="3"/>
    <n v="30"/>
    <n v="120"/>
  </r>
  <r>
    <n v="302"/>
    <d v="2023-07-14T00:00:00"/>
    <s v="CUST302"/>
    <s v="Male"/>
    <n v="57"/>
    <x v="0"/>
    <x v="1"/>
    <n v="300"/>
    <n v="600"/>
  </r>
  <r>
    <n v="303"/>
    <d v="2023-01-02T00:00:00"/>
    <s v="CUST303"/>
    <s v="Male"/>
    <n v="19"/>
    <x v="2"/>
    <x v="0"/>
    <n v="30"/>
    <n v="90"/>
  </r>
  <r>
    <n v="304"/>
    <d v="2023-07-19T00:00:00"/>
    <s v="CUST304"/>
    <s v="Female"/>
    <n v="37"/>
    <x v="2"/>
    <x v="1"/>
    <n v="30"/>
    <n v="60"/>
  </r>
  <r>
    <n v="305"/>
    <d v="2023-05-16T00:00:00"/>
    <s v="CUST305"/>
    <s v="Female"/>
    <n v="18"/>
    <x v="0"/>
    <x v="2"/>
    <n v="30"/>
    <n v="30"/>
  </r>
  <r>
    <n v="306"/>
    <d v="2023-08-21T00:00:00"/>
    <s v="CUST306"/>
    <s v="Male"/>
    <n v="54"/>
    <x v="2"/>
    <x v="2"/>
    <n v="50"/>
    <n v="50"/>
  </r>
  <r>
    <n v="307"/>
    <d v="2023-05-27T00:00:00"/>
    <s v="CUST307"/>
    <s v="Female"/>
    <n v="26"/>
    <x v="2"/>
    <x v="1"/>
    <n v="25"/>
    <n v="50"/>
  </r>
  <r>
    <n v="308"/>
    <d v="2023-08-05T00:00:00"/>
    <s v="CUST308"/>
    <s v="Female"/>
    <n v="34"/>
    <x v="0"/>
    <x v="3"/>
    <n v="300"/>
    <n v="1200"/>
  </r>
  <r>
    <n v="309"/>
    <d v="2023-12-23T00:00:00"/>
    <s v="CUST309"/>
    <s v="Female"/>
    <n v="26"/>
    <x v="0"/>
    <x v="2"/>
    <n v="25"/>
    <n v="25"/>
  </r>
  <r>
    <n v="310"/>
    <d v="2023-10-12T00:00:00"/>
    <s v="CUST310"/>
    <s v="Female"/>
    <n v="28"/>
    <x v="0"/>
    <x v="2"/>
    <n v="25"/>
    <n v="25"/>
  </r>
  <r>
    <n v="311"/>
    <d v="2023-12-05T00:00:00"/>
    <s v="CUST311"/>
    <s v="Female"/>
    <n v="32"/>
    <x v="0"/>
    <x v="3"/>
    <n v="25"/>
    <n v="100"/>
  </r>
  <r>
    <n v="312"/>
    <d v="2023-09-07T00:00:00"/>
    <s v="CUST312"/>
    <s v="Male"/>
    <n v="41"/>
    <x v="1"/>
    <x v="3"/>
    <n v="30"/>
    <n v="120"/>
  </r>
  <r>
    <n v="313"/>
    <d v="2023-03-21T00:00:00"/>
    <s v="CUST313"/>
    <s v="Female"/>
    <n v="55"/>
    <x v="0"/>
    <x v="0"/>
    <n v="500"/>
    <n v="1500"/>
  </r>
  <r>
    <n v="314"/>
    <d v="2023-04-08T00:00:00"/>
    <s v="CUST314"/>
    <s v="Male"/>
    <n v="52"/>
    <x v="1"/>
    <x v="3"/>
    <n v="30"/>
    <n v="120"/>
  </r>
  <r>
    <n v="315"/>
    <d v="2023-06-01T00:00:00"/>
    <s v="CUST315"/>
    <s v="Male"/>
    <n v="47"/>
    <x v="1"/>
    <x v="1"/>
    <n v="30"/>
    <n v="60"/>
  </r>
  <r>
    <n v="316"/>
    <d v="2023-04-22T00:00:00"/>
    <s v="CUST316"/>
    <s v="Female"/>
    <n v="48"/>
    <x v="1"/>
    <x v="1"/>
    <n v="25"/>
    <n v="50"/>
  </r>
  <r>
    <n v="317"/>
    <d v="2023-01-30T00:00:00"/>
    <s v="CUST317"/>
    <s v="Male"/>
    <n v="22"/>
    <x v="2"/>
    <x v="0"/>
    <n v="30"/>
    <n v="90"/>
  </r>
  <r>
    <n v="318"/>
    <d v="2023-10-24T00:00:00"/>
    <s v="CUST318"/>
    <s v="Male"/>
    <n v="61"/>
    <x v="1"/>
    <x v="2"/>
    <n v="25"/>
    <n v="25"/>
  </r>
  <r>
    <n v="319"/>
    <d v="2023-10-05T00:00:00"/>
    <s v="CUST319"/>
    <s v="Male"/>
    <n v="31"/>
    <x v="1"/>
    <x v="2"/>
    <n v="500"/>
    <n v="500"/>
  </r>
  <r>
    <n v="320"/>
    <d v="2023-02-01T00:00:00"/>
    <s v="CUST320"/>
    <s v="Female"/>
    <n v="28"/>
    <x v="2"/>
    <x v="3"/>
    <n v="300"/>
    <n v="1200"/>
  </r>
  <r>
    <n v="321"/>
    <d v="2023-06-10T00:00:00"/>
    <s v="CUST321"/>
    <s v="Female"/>
    <n v="26"/>
    <x v="2"/>
    <x v="1"/>
    <n v="25"/>
    <n v="50"/>
  </r>
  <r>
    <n v="322"/>
    <d v="2023-01-30T00:00:00"/>
    <s v="CUST322"/>
    <s v="Male"/>
    <n v="51"/>
    <x v="2"/>
    <x v="2"/>
    <n v="500"/>
    <n v="500"/>
  </r>
  <r>
    <n v="323"/>
    <d v="2023-01-26T00:00:00"/>
    <s v="CUST323"/>
    <s v="Female"/>
    <n v="29"/>
    <x v="0"/>
    <x v="0"/>
    <n v="300"/>
    <n v="900"/>
  </r>
  <r>
    <n v="324"/>
    <d v="2023-10-27T00:00:00"/>
    <s v="CUST324"/>
    <s v="Female"/>
    <n v="52"/>
    <x v="2"/>
    <x v="0"/>
    <n v="50"/>
    <n v="150"/>
  </r>
  <r>
    <n v="325"/>
    <d v="2023-09-02T00:00:00"/>
    <s v="CUST325"/>
    <s v="Female"/>
    <n v="52"/>
    <x v="2"/>
    <x v="1"/>
    <n v="25"/>
    <n v="50"/>
  </r>
  <r>
    <n v="326"/>
    <d v="2023-09-15T00:00:00"/>
    <s v="CUST326"/>
    <s v="Female"/>
    <n v="18"/>
    <x v="1"/>
    <x v="0"/>
    <n v="25"/>
    <n v="75"/>
  </r>
  <r>
    <n v="327"/>
    <d v="2023-09-29T00:00:00"/>
    <s v="CUST327"/>
    <s v="Male"/>
    <n v="57"/>
    <x v="2"/>
    <x v="0"/>
    <n v="50"/>
    <n v="150"/>
  </r>
  <r>
    <n v="328"/>
    <d v="2023-03-22T00:00:00"/>
    <s v="CUST328"/>
    <s v="Male"/>
    <n v="39"/>
    <x v="0"/>
    <x v="1"/>
    <n v="50"/>
    <n v="100"/>
  </r>
  <r>
    <n v="329"/>
    <d v="2023-01-30T00:00:00"/>
    <s v="CUST329"/>
    <s v="Female"/>
    <n v="46"/>
    <x v="2"/>
    <x v="3"/>
    <n v="25"/>
    <n v="100"/>
  </r>
  <r>
    <n v="330"/>
    <d v="2023-09-18T00:00:00"/>
    <s v="CUST330"/>
    <s v="Female"/>
    <n v="25"/>
    <x v="0"/>
    <x v="3"/>
    <n v="50"/>
    <n v="200"/>
  </r>
  <r>
    <n v="331"/>
    <d v="2023-02-11T00:00:00"/>
    <s v="CUST331"/>
    <s v="Male"/>
    <n v="28"/>
    <x v="2"/>
    <x v="0"/>
    <n v="30"/>
    <n v="90"/>
  </r>
  <r>
    <n v="332"/>
    <d v="2023-04-06T00:00:00"/>
    <s v="CUST332"/>
    <s v="Male"/>
    <n v="58"/>
    <x v="2"/>
    <x v="3"/>
    <n v="300"/>
    <n v="1200"/>
  </r>
  <r>
    <n v="333"/>
    <d v="2023-02-05T00:00:00"/>
    <s v="CUST333"/>
    <s v="Female"/>
    <n v="54"/>
    <x v="2"/>
    <x v="3"/>
    <n v="300"/>
    <n v="1200"/>
  </r>
  <r>
    <n v="334"/>
    <d v="2023-11-01T00:00:00"/>
    <s v="CUST334"/>
    <s v="Male"/>
    <n v="31"/>
    <x v="2"/>
    <x v="0"/>
    <n v="300"/>
    <n v="900"/>
  </r>
  <r>
    <n v="335"/>
    <d v="2023-02-04T00:00:00"/>
    <s v="CUST335"/>
    <s v="Female"/>
    <n v="47"/>
    <x v="0"/>
    <x v="3"/>
    <n v="30"/>
    <n v="120"/>
  </r>
  <r>
    <n v="336"/>
    <d v="2023-12-12T00:00:00"/>
    <s v="CUST336"/>
    <s v="Female"/>
    <n v="52"/>
    <x v="0"/>
    <x v="0"/>
    <n v="50"/>
    <n v="150"/>
  </r>
  <r>
    <n v="337"/>
    <d v="2023-05-01T00:00:00"/>
    <s v="CUST337"/>
    <s v="Male"/>
    <n v="38"/>
    <x v="1"/>
    <x v="2"/>
    <n v="500"/>
    <n v="500"/>
  </r>
  <r>
    <n v="338"/>
    <d v="2023-07-26T00:00:00"/>
    <s v="CUST338"/>
    <s v="Male"/>
    <n v="54"/>
    <x v="0"/>
    <x v="1"/>
    <n v="50"/>
    <n v="100"/>
  </r>
  <r>
    <n v="339"/>
    <d v="2023-03-03T00:00:00"/>
    <s v="CUST339"/>
    <s v="Female"/>
    <n v="22"/>
    <x v="2"/>
    <x v="1"/>
    <n v="25"/>
    <n v="50"/>
  </r>
  <r>
    <n v="340"/>
    <d v="2023-10-19T00:00:00"/>
    <s v="CUST340"/>
    <s v="Female"/>
    <n v="36"/>
    <x v="1"/>
    <x v="3"/>
    <n v="300"/>
    <n v="1200"/>
  </r>
  <r>
    <n v="341"/>
    <d v="2023-05-07T00:00:00"/>
    <s v="CUST341"/>
    <s v="Male"/>
    <n v="31"/>
    <x v="1"/>
    <x v="3"/>
    <n v="50"/>
    <n v="200"/>
  </r>
  <r>
    <n v="342"/>
    <d v="2023-10-24T00:00:00"/>
    <s v="CUST342"/>
    <s v="Female"/>
    <n v="43"/>
    <x v="1"/>
    <x v="3"/>
    <n v="500"/>
    <n v="2000"/>
  </r>
  <r>
    <n v="343"/>
    <d v="2023-11-01T00:00:00"/>
    <s v="CUST343"/>
    <s v="Male"/>
    <n v="21"/>
    <x v="2"/>
    <x v="1"/>
    <n v="25"/>
    <n v="50"/>
  </r>
  <r>
    <n v="344"/>
    <d v="2023-01-21T00:00:00"/>
    <s v="CUST344"/>
    <s v="Female"/>
    <n v="42"/>
    <x v="0"/>
    <x v="2"/>
    <n v="30"/>
    <n v="30"/>
  </r>
  <r>
    <n v="345"/>
    <d v="2023-11-14T00:00:00"/>
    <s v="CUST345"/>
    <s v="Male"/>
    <n v="62"/>
    <x v="2"/>
    <x v="2"/>
    <n v="30"/>
    <n v="30"/>
  </r>
  <r>
    <n v="346"/>
    <d v="2023-02-11T00:00:00"/>
    <s v="CUST346"/>
    <s v="Male"/>
    <n v="59"/>
    <x v="1"/>
    <x v="1"/>
    <n v="500"/>
    <n v="1000"/>
  </r>
  <r>
    <n v="347"/>
    <d v="2023-08-03T00:00:00"/>
    <s v="CUST347"/>
    <s v="Male"/>
    <n v="42"/>
    <x v="2"/>
    <x v="2"/>
    <n v="25"/>
    <n v="25"/>
  </r>
  <r>
    <n v="348"/>
    <d v="2023-12-03T00:00:00"/>
    <s v="CUST348"/>
    <s v="Female"/>
    <n v="35"/>
    <x v="2"/>
    <x v="1"/>
    <n v="300"/>
    <n v="600"/>
  </r>
  <r>
    <n v="349"/>
    <d v="2023-10-26T00:00:00"/>
    <s v="CUST349"/>
    <s v="Female"/>
    <n v="57"/>
    <x v="0"/>
    <x v="2"/>
    <n v="50"/>
    <n v="50"/>
  </r>
  <r>
    <n v="350"/>
    <d v="2023-10-17T00:00:00"/>
    <s v="CUST350"/>
    <s v="Male"/>
    <n v="25"/>
    <x v="0"/>
    <x v="0"/>
    <n v="25"/>
    <n v="75"/>
  </r>
  <r>
    <n v="351"/>
    <d v="2023-09-25T00:00:00"/>
    <s v="CUST351"/>
    <s v="Female"/>
    <n v="56"/>
    <x v="1"/>
    <x v="0"/>
    <n v="30"/>
    <n v="90"/>
  </r>
  <r>
    <n v="352"/>
    <d v="2023-06-11T00:00:00"/>
    <s v="CUST352"/>
    <s v="Male"/>
    <n v="57"/>
    <x v="2"/>
    <x v="1"/>
    <n v="500"/>
    <n v="1000"/>
  </r>
  <r>
    <n v="353"/>
    <d v="2023-05-14T00:00:00"/>
    <s v="CUST353"/>
    <s v="Male"/>
    <n v="31"/>
    <x v="2"/>
    <x v="2"/>
    <n v="500"/>
    <n v="500"/>
  </r>
  <r>
    <n v="354"/>
    <d v="2023-04-15T00:00:00"/>
    <s v="CUST354"/>
    <s v="Female"/>
    <n v="49"/>
    <x v="0"/>
    <x v="3"/>
    <n v="50"/>
    <n v="200"/>
  </r>
  <r>
    <n v="355"/>
    <d v="2023-12-09T00:00:00"/>
    <s v="CUST355"/>
    <s v="Female"/>
    <n v="55"/>
    <x v="2"/>
    <x v="2"/>
    <n v="500"/>
    <n v="500"/>
  </r>
  <r>
    <n v="356"/>
    <d v="2023-06-10T00:00:00"/>
    <s v="CUST356"/>
    <s v="Male"/>
    <n v="50"/>
    <x v="2"/>
    <x v="0"/>
    <n v="500"/>
    <n v="1500"/>
  </r>
  <r>
    <n v="357"/>
    <d v="2023-05-03T00:00:00"/>
    <s v="CUST357"/>
    <s v="Female"/>
    <n v="40"/>
    <x v="2"/>
    <x v="0"/>
    <n v="25"/>
    <n v="75"/>
  </r>
  <r>
    <n v="358"/>
    <d v="2023-05-16T00:00:00"/>
    <s v="CUST358"/>
    <s v="Female"/>
    <n v="32"/>
    <x v="0"/>
    <x v="2"/>
    <n v="300"/>
    <n v="300"/>
  </r>
  <r>
    <n v="359"/>
    <d v="2023-07-22T00:00:00"/>
    <s v="CUST359"/>
    <s v="Male"/>
    <n v="50"/>
    <x v="1"/>
    <x v="2"/>
    <n v="50"/>
    <n v="50"/>
  </r>
  <r>
    <n v="360"/>
    <d v="2023-03-09T00:00:00"/>
    <s v="CUST360"/>
    <s v="Male"/>
    <n v="42"/>
    <x v="1"/>
    <x v="3"/>
    <n v="25"/>
    <n v="100"/>
  </r>
  <r>
    <n v="361"/>
    <d v="2023-12-10T00:00:00"/>
    <s v="CUST361"/>
    <s v="Female"/>
    <n v="34"/>
    <x v="2"/>
    <x v="3"/>
    <n v="300"/>
    <n v="1200"/>
  </r>
  <r>
    <n v="362"/>
    <d v="2023-11-27T00:00:00"/>
    <s v="CUST362"/>
    <s v="Male"/>
    <n v="50"/>
    <x v="1"/>
    <x v="2"/>
    <n v="25"/>
    <n v="25"/>
  </r>
  <r>
    <n v="363"/>
    <d v="2023-06-03T00:00:00"/>
    <s v="CUST363"/>
    <s v="Male"/>
    <n v="64"/>
    <x v="0"/>
    <x v="2"/>
    <n v="25"/>
    <n v="25"/>
  </r>
  <r>
    <n v="364"/>
    <d v="2023-08-23T00:00:00"/>
    <s v="CUST364"/>
    <s v="Female"/>
    <n v="19"/>
    <x v="0"/>
    <x v="2"/>
    <n v="500"/>
    <n v="500"/>
  </r>
  <r>
    <n v="365"/>
    <d v="2023-06-11T00:00:00"/>
    <s v="CUST365"/>
    <s v="Male"/>
    <n v="31"/>
    <x v="1"/>
    <x v="2"/>
    <n v="300"/>
    <n v="300"/>
  </r>
  <r>
    <n v="366"/>
    <d v="2023-02-07T00:00:00"/>
    <s v="CUST366"/>
    <s v="Male"/>
    <n v="57"/>
    <x v="1"/>
    <x v="1"/>
    <n v="50"/>
    <n v="100"/>
  </r>
  <r>
    <n v="367"/>
    <d v="2023-01-05T00:00:00"/>
    <s v="CUST367"/>
    <s v="Female"/>
    <n v="57"/>
    <x v="2"/>
    <x v="2"/>
    <n v="50"/>
    <n v="50"/>
  </r>
  <r>
    <n v="368"/>
    <d v="2023-08-23T00:00:00"/>
    <s v="CUST368"/>
    <s v="Female"/>
    <n v="56"/>
    <x v="1"/>
    <x v="3"/>
    <n v="300"/>
    <n v="1200"/>
  </r>
  <r>
    <n v="369"/>
    <d v="2023-11-15T00:00:00"/>
    <s v="CUST369"/>
    <s v="Male"/>
    <n v="23"/>
    <x v="2"/>
    <x v="0"/>
    <n v="500"/>
    <n v="1500"/>
  </r>
  <r>
    <n v="370"/>
    <d v="2023-10-16T00:00:00"/>
    <s v="CUST370"/>
    <s v="Male"/>
    <n v="23"/>
    <x v="2"/>
    <x v="1"/>
    <n v="30"/>
    <n v="60"/>
  </r>
  <r>
    <n v="371"/>
    <d v="2023-02-21T00:00:00"/>
    <s v="CUST371"/>
    <s v="Female"/>
    <n v="20"/>
    <x v="0"/>
    <x v="2"/>
    <n v="25"/>
    <n v="25"/>
  </r>
  <r>
    <n v="372"/>
    <d v="2023-02-07T00:00:00"/>
    <s v="CUST372"/>
    <s v="Female"/>
    <n v="24"/>
    <x v="0"/>
    <x v="0"/>
    <n v="500"/>
    <n v="1500"/>
  </r>
  <r>
    <n v="373"/>
    <d v="2023-10-03T00:00:00"/>
    <s v="CUST373"/>
    <s v="Female"/>
    <n v="25"/>
    <x v="0"/>
    <x v="1"/>
    <n v="300"/>
    <n v="600"/>
  </r>
  <r>
    <n v="374"/>
    <d v="2023-04-20T00:00:00"/>
    <s v="CUST374"/>
    <s v="Female"/>
    <n v="59"/>
    <x v="0"/>
    <x v="0"/>
    <n v="25"/>
    <n v="75"/>
  </r>
  <r>
    <n v="375"/>
    <d v="2023-09-17T00:00:00"/>
    <s v="CUST375"/>
    <s v="Male"/>
    <n v="32"/>
    <x v="1"/>
    <x v="2"/>
    <n v="50"/>
    <n v="50"/>
  </r>
  <r>
    <n v="376"/>
    <d v="2023-05-16T00:00:00"/>
    <s v="CUST376"/>
    <s v="Female"/>
    <n v="64"/>
    <x v="0"/>
    <x v="2"/>
    <n v="30"/>
    <n v="30"/>
  </r>
  <r>
    <n v="377"/>
    <d v="2023-03-09T00:00:00"/>
    <s v="CUST377"/>
    <s v="Female"/>
    <n v="46"/>
    <x v="1"/>
    <x v="3"/>
    <n v="50"/>
    <n v="200"/>
  </r>
  <r>
    <n v="378"/>
    <d v="2023-06-28T00:00:00"/>
    <s v="CUST378"/>
    <s v="Male"/>
    <n v="50"/>
    <x v="0"/>
    <x v="2"/>
    <n v="300"/>
    <n v="300"/>
  </r>
  <r>
    <n v="379"/>
    <d v="2023-02-05T00:00:00"/>
    <s v="CUST379"/>
    <s v="Female"/>
    <n v="47"/>
    <x v="1"/>
    <x v="2"/>
    <n v="25"/>
    <n v="25"/>
  </r>
  <r>
    <n v="380"/>
    <d v="2023-05-06T00:00:00"/>
    <s v="CUST380"/>
    <s v="Male"/>
    <n v="56"/>
    <x v="2"/>
    <x v="1"/>
    <n v="300"/>
    <n v="600"/>
  </r>
  <r>
    <n v="381"/>
    <d v="2023-07-09T00:00:00"/>
    <s v="CUST381"/>
    <s v="Female"/>
    <n v="44"/>
    <x v="1"/>
    <x v="3"/>
    <n v="25"/>
    <n v="100"/>
  </r>
  <r>
    <n v="382"/>
    <d v="2023-05-26T00:00:00"/>
    <s v="CUST382"/>
    <s v="Female"/>
    <n v="53"/>
    <x v="1"/>
    <x v="1"/>
    <n v="500"/>
    <n v="1000"/>
  </r>
  <r>
    <n v="383"/>
    <d v="2023-03-22T00:00:00"/>
    <s v="CUST383"/>
    <s v="Female"/>
    <n v="46"/>
    <x v="0"/>
    <x v="0"/>
    <n v="30"/>
    <n v="90"/>
  </r>
  <r>
    <n v="384"/>
    <d v="2023-08-13T00:00:00"/>
    <s v="CUST384"/>
    <s v="Male"/>
    <n v="55"/>
    <x v="1"/>
    <x v="2"/>
    <n v="500"/>
    <n v="500"/>
  </r>
  <r>
    <n v="385"/>
    <d v="2023-10-06T00:00:00"/>
    <s v="CUST385"/>
    <s v="Male"/>
    <n v="50"/>
    <x v="2"/>
    <x v="0"/>
    <n v="500"/>
    <n v="1500"/>
  </r>
  <r>
    <n v="386"/>
    <d v="2023-12-27T00:00:00"/>
    <s v="CUST386"/>
    <s v="Female"/>
    <n v="54"/>
    <x v="2"/>
    <x v="1"/>
    <n v="300"/>
    <n v="600"/>
  </r>
  <r>
    <n v="387"/>
    <d v="2023-06-04T00:00:00"/>
    <s v="CUST387"/>
    <s v="Male"/>
    <n v="44"/>
    <x v="0"/>
    <x v="2"/>
    <n v="30"/>
    <n v="30"/>
  </r>
  <r>
    <n v="388"/>
    <d v="2023-11-10T00:00:00"/>
    <s v="CUST388"/>
    <s v="Male"/>
    <n v="50"/>
    <x v="2"/>
    <x v="2"/>
    <n v="25"/>
    <n v="25"/>
  </r>
  <r>
    <n v="389"/>
    <d v="2023-12-01T00:00:00"/>
    <s v="CUST389"/>
    <s v="Male"/>
    <n v="21"/>
    <x v="1"/>
    <x v="1"/>
    <n v="25"/>
    <n v="50"/>
  </r>
  <r>
    <n v="390"/>
    <d v="2023-09-28T00:00:00"/>
    <s v="CUST390"/>
    <s v="Male"/>
    <n v="39"/>
    <x v="2"/>
    <x v="1"/>
    <n v="50"/>
    <n v="100"/>
  </r>
  <r>
    <n v="391"/>
    <d v="2023-01-05T00:00:00"/>
    <s v="CUST391"/>
    <s v="Male"/>
    <n v="19"/>
    <x v="0"/>
    <x v="1"/>
    <n v="25"/>
    <n v="50"/>
  </r>
  <r>
    <n v="392"/>
    <d v="2023-12-08T00:00:00"/>
    <s v="CUST392"/>
    <s v="Male"/>
    <n v="27"/>
    <x v="1"/>
    <x v="1"/>
    <n v="300"/>
    <n v="600"/>
  </r>
  <r>
    <n v="393"/>
    <d v="2023-10-11T00:00:00"/>
    <s v="CUST393"/>
    <s v="Female"/>
    <n v="22"/>
    <x v="0"/>
    <x v="1"/>
    <n v="500"/>
    <n v="1000"/>
  </r>
  <r>
    <n v="394"/>
    <d v="2023-06-03T00:00:00"/>
    <s v="CUST394"/>
    <s v="Female"/>
    <n v="27"/>
    <x v="1"/>
    <x v="2"/>
    <n v="500"/>
    <n v="500"/>
  </r>
  <r>
    <n v="395"/>
    <d v="2023-12-06T00:00:00"/>
    <s v="CUST395"/>
    <s v="Male"/>
    <n v="50"/>
    <x v="2"/>
    <x v="1"/>
    <n v="500"/>
    <n v="1000"/>
  </r>
  <r>
    <n v="396"/>
    <d v="2023-02-23T00:00:00"/>
    <s v="CUST396"/>
    <s v="Female"/>
    <n v="55"/>
    <x v="0"/>
    <x v="2"/>
    <n v="30"/>
    <n v="30"/>
  </r>
  <r>
    <n v="397"/>
    <d v="2023-03-10T00:00:00"/>
    <s v="CUST397"/>
    <s v="Female"/>
    <n v="30"/>
    <x v="0"/>
    <x v="2"/>
    <n v="25"/>
    <n v="25"/>
  </r>
  <r>
    <n v="398"/>
    <d v="2023-05-16T00:00:00"/>
    <s v="CUST398"/>
    <s v="Female"/>
    <n v="48"/>
    <x v="1"/>
    <x v="1"/>
    <n v="300"/>
    <n v="600"/>
  </r>
  <r>
    <n v="399"/>
    <d v="2023-03-01T00:00:00"/>
    <s v="CUST399"/>
    <s v="Female"/>
    <n v="64"/>
    <x v="0"/>
    <x v="1"/>
    <n v="30"/>
    <n v="60"/>
  </r>
  <r>
    <n v="400"/>
    <d v="2023-02-24T00:00:00"/>
    <s v="CUST400"/>
    <s v="Male"/>
    <n v="53"/>
    <x v="1"/>
    <x v="3"/>
    <n v="50"/>
    <n v="200"/>
  </r>
  <r>
    <n v="401"/>
    <d v="2023-10-11T00:00:00"/>
    <s v="CUST401"/>
    <s v="Female"/>
    <n v="62"/>
    <x v="1"/>
    <x v="2"/>
    <n v="300"/>
    <n v="300"/>
  </r>
  <r>
    <n v="402"/>
    <d v="2023-03-21T00:00:00"/>
    <s v="CUST402"/>
    <s v="Female"/>
    <n v="41"/>
    <x v="1"/>
    <x v="1"/>
    <n v="300"/>
    <n v="600"/>
  </r>
  <r>
    <n v="403"/>
    <d v="2023-05-20T00:00:00"/>
    <s v="CUST403"/>
    <s v="Male"/>
    <n v="32"/>
    <x v="1"/>
    <x v="1"/>
    <n v="300"/>
    <n v="600"/>
  </r>
  <r>
    <n v="404"/>
    <d v="2023-05-25T00:00:00"/>
    <s v="CUST404"/>
    <s v="Male"/>
    <n v="46"/>
    <x v="2"/>
    <x v="1"/>
    <n v="500"/>
    <n v="1000"/>
  </r>
  <r>
    <n v="405"/>
    <d v="2023-11-06T00:00:00"/>
    <s v="CUST405"/>
    <s v="Female"/>
    <n v="25"/>
    <x v="1"/>
    <x v="3"/>
    <n v="300"/>
    <n v="1200"/>
  </r>
  <r>
    <n v="406"/>
    <d v="2023-04-18T00:00:00"/>
    <s v="CUST406"/>
    <s v="Female"/>
    <n v="22"/>
    <x v="0"/>
    <x v="3"/>
    <n v="25"/>
    <n v="100"/>
  </r>
  <r>
    <n v="407"/>
    <d v="2023-06-25T00:00:00"/>
    <s v="CUST407"/>
    <s v="Female"/>
    <n v="46"/>
    <x v="2"/>
    <x v="0"/>
    <n v="300"/>
    <n v="900"/>
  </r>
  <r>
    <n v="408"/>
    <d v="2023-04-15T00:00:00"/>
    <s v="CUST408"/>
    <s v="Female"/>
    <n v="64"/>
    <x v="0"/>
    <x v="2"/>
    <n v="500"/>
    <n v="500"/>
  </r>
  <r>
    <n v="409"/>
    <d v="2023-12-18T00:00:00"/>
    <s v="CUST409"/>
    <s v="Female"/>
    <n v="21"/>
    <x v="2"/>
    <x v="0"/>
    <n v="300"/>
    <n v="900"/>
  </r>
  <r>
    <n v="410"/>
    <d v="2023-11-21T00:00:00"/>
    <s v="CUST410"/>
    <s v="Female"/>
    <n v="29"/>
    <x v="1"/>
    <x v="1"/>
    <n v="50"/>
    <n v="100"/>
  </r>
  <r>
    <n v="411"/>
    <d v="2023-05-16T00:00:00"/>
    <s v="CUST411"/>
    <s v="Male"/>
    <n v="62"/>
    <x v="2"/>
    <x v="3"/>
    <n v="50"/>
    <n v="200"/>
  </r>
  <r>
    <n v="412"/>
    <d v="2023-09-16T00:00:00"/>
    <s v="CUST412"/>
    <s v="Female"/>
    <n v="19"/>
    <x v="2"/>
    <x v="3"/>
    <n v="500"/>
    <n v="2000"/>
  </r>
  <r>
    <n v="413"/>
    <d v="2023-09-08T00:00:00"/>
    <s v="CUST413"/>
    <s v="Female"/>
    <n v="44"/>
    <x v="0"/>
    <x v="0"/>
    <n v="25"/>
    <n v="75"/>
  </r>
  <r>
    <n v="414"/>
    <d v="2023-05-09T00:00:00"/>
    <s v="CUST414"/>
    <s v="Male"/>
    <n v="48"/>
    <x v="0"/>
    <x v="3"/>
    <n v="25"/>
    <n v="100"/>
  </r>
  <r>
    <n v="415"/>
    <d v="2023-01-27T00:00:00"/>
    <s v="CUST415"/>
    <s v="Male"/>
    <n v="53"/>
    <x v="1"/>
    <x v="1"/>
    <n v="30"/>
    <n v="60"/>
  </r>
  <r>
    <n v="416"/>
    <d v="2023-02-17T00:00:00"/>
    <s v="CUST416"/>
    <s v="Male"/>
    <n v="53"/>
    <x v="2"/>
    <x v="3"/>
    <n v="500"/>
    <n v="2000"/>
  </r>
  <r>
    <n v="417"/>
    <d v="2023-11-21T00:00:00"/>
    <s v="CUST417"/>
    <s v="Male"/>
    <n v="43"/>
    <x v="2"/>
    <x v="0"/>
    <n v="300"/>
    <n v="900"/>
  </r>
  <r>
    <n v="418"/>
    <d v="2023-08-05T00:00:00"/>
    <s v="CUST418"/>
    <s v="Female"/>
    <n v="60"/>
    <x v="2"/>
    <x v="1"/>
    <n v="500"/>
    <n v="1000"/>
  </r>
  <r>
    <n v="419"/>
    <d v="2023-05-22T00:00:00"/>
    <s v="CUST419"/>
    <s v="Female"/>
    <n v="44"/>
    <x v="1"/>
    <x v="0"/>
    <n v="30"/>
    <n v="90"/>
  </r>
  <r>
    <n v="420"/>
    <d v="2023-01-23T00:00:00"/>
    <s v="CUST420"/>
    <s v="Female"/>
    <n v="22"/>
    <x v="1"/>
    <x v="3"/>
    <n v="500"/>
    <n v="2000"/>
  </r>
  <r>
    <n v="421"/>
    <d v="2023-01-02T00:00:00"/>
    <s v="CUST421"/>
    <s v="Female"/>
    <n v="37"/>
    <x v="1"/>
    <x v="0"/>
    <n v="500"/>
    <n v="1500"/>
  </r>
  <r>
    <n v="422"/>
    <d v="2023-06-20T00:00:00"/>
    <s v="CUST422"/>
    <s v="Female"/>
    <n v="28"/>
    <x v="1"/>
    <x v="0"/>
    <n v="30"/>
    <n v="90"/>
  </r>
  <r>
    <n v="423"/>
    <d v="2023-03-08T00:00:00"/>
    <s v="CUST423"/>
    <s v="Female"/>
    <n v="27"/>
    <x v="1"/>
    <x v="2"/>
    <n v="25"/>
    <n v="25"/>
  </r>
  <r>
    <n v="424"/>
    <d v="2023-11-23T00:00:00"/>
    <s v="CUST424"/>
    <s v="Male"/>
    <n v="57"/>
    <x v="0"/>
    <x v="3"/>
    <n v="300"/>
    <n v="1200"/>
  </r>
  <r>
    <n v="425"/>
    <d v="2023-05-15T00:00:00"/>
    <s v="CUST425"/>
    <s v="Female"/>
    <n v="55"/>
    <x v="2"/>
    <x v="3"/>
    <n v="30"/>
    <n v="120"/>
  </r>
  <r>
    <n v="426"/>
    <d v="2023-03-24T00:00:00"/>
    <s v="CUST426"/>
    <s v="Male"/>
    <n v="23"/>
    <x v="2"/>
    <x v="0"/>
    <n v="50"/>
    <n v="150"/>
  </r>
  <r>
    <n v="427"/>
    <d v="2023-08-15T00:00:00"/>
    <s v="CUST427"/>
    <s v="Male"/>
    <n v="25"/>
    <x v="2"/>
    <x v="2"/>
    <n v="25"/>
    <n v="25"/>
  </r>
  <r>
    <n v="428"/>
    <d v="2023-10-10T00:00:00"/>
    <s v="CUST428"/>
    <s v="Female"/>
    <n v="40"/>
    <x v="2"/>
    <x v="3"/>
    <n v="50"/>
    <n v="200"/>
  </r>
  <r>
    <n v="429"/>
    <d v="2023-12-28T00:00:00"/>
    <s v="CUST429"/>
    <s v="Male"/>
    <n v="64"/>
    <x v="2"/>
    <x v="1"/>
    <n v="25"/>
    <n v="50"/>
  </r>
  <r>
    <n v="430"/>
    <d v="2023-08-07T00:00:00"/>
    <s v="CUST430"/>
    <s v="Female"/>
    <n v="43"/>
    <x v="2"/>
    <x v="0"/>
    <n v="300"/>
    <n v="900"/>
  </r>
  <r>
    <n v="431"/>
    <d v="2023-10-15T00:00:00"/>
    <s v="CUST431"/>
    <s v="Male"/>
    <n v="63"/>
    <x v="2"/>
    <x v="3"/>
    <n v="300"/>
    <n v="1200"/>
  </r>
  <r>
    <n v="432"/>
    <d v="2023-01-05T00:00:00"/>
    <s v="CUST432"/>
    <s v="Female"/>
    <n v="60"/>
    <x v="2"/>
    <x v="1"/>
    <n v="500"/>
    <n v="1000"/>
  </r>
  <r>
    <n v="433"/>
    <d v="2023-02-27T00:00:00"/>
    <s v="CUST433"/>
    <s v="Male"/>
    <n v="29"/>
    <x v="0"/>
    <x v="3"/>
    <n v="50"/>
    <n v="200"/>
  </r>
  <r>
    <n v="434"/>
    <d v="2023-02-08T00:00:00"/>
    <s v="CUST434"/>
    <s v="Female"/>
    <n v="43"/>
    <x v="2"/>
    <x v="1"/>
    <n v="25"/>
    <n v="50"/>
  </r>
  <r>
    <n v="435"/>
    <d v="2023-12-20T00:00:00"/>
    <s v="CUST435"/>
    <s v="Female"/>
    <n v="30"/>
    <x v="0"/>
    <x v="0"/>
    <n v="300"/>
    <n v="900"/>
  </r>
  <r>
    <n v="436"/>
    <d v="2023-03-18T00:00:00"/>
    <s v="CUST436"/>
    <s v="Female"/>
    <n v="57"/>
    <x v="1"/>
    <x v="3"/>
    <n v="30"/>
    <n v="120"/>
  </r>
  <r>
    <n v="437"/>
    <d v="2023-10-07T00:00:00"/>
    <s v="CUST437"/>
    <s v="Female"/>
    <n v="35"/>
    <x v="2"/>
    <x v="3"/>
    <n v="300"/>
    <n v="1200"/>
  </r>
  <r>
    <n v="438"/>
    <d v="2023-01-19T00:00:00"/>
    <s v="CUST438"/>
    <s v="Female"/>
    <n v="42"/>
    <x v="1"/>
    <x v="2"/>
    <n v="30"/>
    <n v="30"/>
  </r>
  <r>
    <n v="439"/>
    <d v="2023-07-09T00:00:00"/>
    <s v="CUST439"/>
    <s v="Male"/>
    <n v="50"/>
    <x v="1"/>
    <x v="0"/>
    <n v="25"/>
    <n v="75"/>
  </r>
  <r>
    <n v="440"/>
    <d v="2023-10-26T00:00:00"/>
    <s v="CUST440"/>
    <s v="Male"/>
    <n v="64"/>
    <x v="1"/>
    <x v="1"/>
    <n v="300"/>
    <n v="600"/>
  </r>
  <r>
    <n v="441"/>
    <d v="2023-10-10T00:00:00"/>
    <s v="CUST441"/>
    <s v="Male"/>
    <n v="57"/>
    <x v="0"/>
    <x v="3"/>
    <n v="300"/>
    <n v="1200"/>
  </r>
  <r>
    <n v="442"/>
    <d v="2023-03-17T00:00:00"/>
    <s v="CUST442"/>
    <s v="Female"/>
    <n v="60"/>
    <x v="1"/>
    <x v="3"/>
    <n v="25"/>
    <n v="100"/>
  </r>
  <r>
    <n v="443"/>
    <d v="2023-08-09T00:00:00"/>
    <s v="CUST443"/>
    <s v="Male"/>
    <n v="29"/>
    <x v="1"/>
    <x v="1"/>
    <n v="300"/>
    <n v="600"/>
  </r>
  <r>
    <n v="444"/>
    <d v="2023-03-07T00:00:00"/>
    <s v="CUST444"/>
    <s v="Female"/>
    <n v="61"/>
    <x v="1"/>
    <x v="0"/>
    <n v="30"/>
    <n v="90"/>
  </r>
  <r>
    <n v="445"/>
    <d v="2023-01-22T00:00:00"/>
    <s v="CUST445"/>
    <s v="Female"/>
    <n v="53"/>
    <x v="2"/>
    <x v="2"/>
    <n v="300"/>
    <n v="300"/>
  </r>
  <r>
    <n v="446"/>
    <d v="2023-06-07T00:00:00"/>
    <s v="CUST446"/>
    <s v="Male"/>
    <n v="21"/>
    <x v="2"/>
    <x v="2"/>
    <n v="50"/>
    <n v="50"/>
  </r>
  <r>
    <n v="447"/>
    <d v="2023-07-06T00:00:00"/>
    <s v="CUST447"/>
    <s v="Male"/>
    <n v="22"/>
    <x v="0"/>
    <x v="3"/>
    <n v="500"/>
    <n v="2000"/>
  </r>
  <r>
    <n v="448"/>
    <d v="2023-01-21T00:00:00"/>
    <s v="CUST448"/>
    <s v="Female"/>
    <n v="54"/>
    <x v="0"/>
    <x v="1"/>
    <n v="30"/>
    <n v="60"/>
  </r>
  <r>
    <n v="449"/>
    <d v="2023-07-03T00:00:00"/>
    <s v="CUST449"/>
    <s v="Male"/>
    <n v="25"/>
    <x v="2"/>
    <x v="3"/>
    <n v="50"/>
    <n v="200"/>
  </r>
  <r>
    <n v="450"/>
    <d v="2023-04-18T00:00:00"/>
    <s v="CUST450"/>
    <s v="Female"/>
    <n v="59"/>
    <x v="0"/>
    <x v="1"/>
    <n v="25"/>
    <n v="50"/>
  </r>
  <r>
    <n v="451"/>
    <d v="2023-12-16T00:00:00"/>
    <s v="CUST451"/>
    <s v="Female"/>
    <n v="45"/>
    <x v="2"/>
    <x v="2"/>
    <n v="30"/>
    <n v="30"/>
  </r>
  <r>
    <n v="452"/>
    <d v="2023-05-08T00:00:00"/>
    <s v="CUST452"/>
    <s v="Female"/>
    <n v="48"/>
    <x v="1"/>
    <x v="0"/>
    <n v="500"/>
    <n v="1500"/>
  </r>
  <r>
    <n v="453"/>
    <d v="2023-12-08T00:00:00"/>
    <s v="CUST453"/>
    <s v="Female"/>
    <n v="26"/>
    <x v="1"/>
    <x v="1"/>
    <n v="500"/>
    <n v="1000"/>
  </r>
  <r>
    <n v="454"/>
    <d v="2023-02-22T00:00:00"/>
    <s v="CUST454"/>
    <s v="Female"/>
    <n v="46"/>
    <x v="0"/>
    <x v="2"/>
    <n v="25"/>
    <n v="25"/>
  </r>
  <r>
    <n v="455"/>
    <d v="2023-07-01T00:00:00"/>
    <s v="CUST455"/>
    <s v="Male"/>
    <n v="31"/>
    <x v="2"/>
    <x v="3"/>
    <n v="25"/>
    <n v="100"/>
  </r>
  <r>
    <n v="456"/>
    <d v="2023-10-14T00:00:00"/>
    <s v="CUST456"/>
    <s v="Male"/>
    <n v="57"/>
    <x v="2"/>
    <x v="1"/>
    <n v="30"/>
    <n v="60"/>
  </r>
  <r>
    <n v="457"/>
    <d v="2023-07-28T00:00:00"/>
    <s v="CUST457"/>
    <s v="Female"/>
    <n v="58"/>
    <x v="0"/>
    <x v="0"/>
    <n v="300"/>
    <n v="900"/>
  </r>
  <r>
    <n v="458"/>
    <d v="2023-11-14T00:00:00"/>
    <s v="CUST458"/>
    <s v="Female"/>
    <n v="39"/>
    <x v="2"/>
    <x v="3"/>
    <n v="25"/>
    <n v="100"/>
  </r>
  <r>
    <n v="459"/>
    <d v="2023-03-21T00:00:00"/>
    <s v="CUST459"/>
    <s v="Male"/>
    <n v="28"/>
    <x v="1"/>
    <x v="3"/>
    <n v="300"/>
    <n v="1200"/>
  </r>
  <r>
    <n v="460"/>
    <d v="2023-05-02T00:00:00"/>
    <s v="CUST460"/>
    <s v="Male"/>
    <n v="40"/>
    <x v="0"/>
    <x v="2"/>
    <n v="50"/>
    <n v="50"/>
  </r>
  <r>
    <n v="461"/>
    <d v="2023-03-25T00:00:00"/>
    <s v="CUST461"/>
    <s v="Female"/>
    <n v="18"/>
    <x v="0"/>
    <x v="1"/>
    <n v="500"/>
    <n v="1000"/>
  </r>
  <r>
    <n v="462"/>
    <d v="2023-04-01T00:00:00"/>
    <s v="CUST462"/>
    <s v="Male"/>
    <n v="63"/>
    <x v="2"/>
    <x v="3"/>
    <n v="300"/>
    <n v="1200"/>
  </r>
  <r>
    <n v="463"/>
    <d v="2023-07-31T00:00:00"/>
    <s v="CUST463"/>
    <s v="Female"/>
    <n v="54"/>
    <x v="0"/>
    <x v="0"/>
    <n v="500"/>
    <n v="1500"/>
  </r>
  <r>
    <n v="464"/>
    <d v="2023-01-13T00:00:00"/>
    <s v="CUST464"/>
    <s v="Male"/>
    <n v="38"/>
    <x v="2"/>
    <x v="1"/>
    <n v="300"/>
    <n v="600"/>
  </r>
  <r>
    <n v="465"/>
    <d v="2023-04-02T00:00:00"/>
    <s v="CUST465"/>
    <s v="Female"/>
    <n v="43"/>
    <x v="2"/>
    <x v="0"/>
    <n v="50"/>
    <n v="150"/>
  </r>
  <r>
    <n v="466"/>
    <d v="2023-06-20T00:00:00"/>
    <s v="CUST466"/>
    <s v="Male"/>
    <n v="63"/>
    <x v="2"/>
    <x v="3"/>
    <n v="25"/>
    <n v="100"/>
  </r>
  <r>
    <n v="467"/>
    <d v="2023-07-30T00:00:00"/>
    <s v="CUST467"/>
    <s v="Female"/>
    <n v="53"/>
    <x v="2"/>
    <x v="0"/>
    <n v="50"/>
    <n v="150"/>
  </r>
  <r>
    <n v="468"/>
    <d v="2023-12-09T00:00:00"/>
    <s v="CUST468"/>
    <s v="Male"/>
    <n v="40"/>
    <x v="2"/>
    <x v="2"/>
    <n v="25"/>
    <n v="25"/>
  </r>
  <r>
    <n v="469"/>
    <d v="2023-05-08T00:00:00"/>
    <s v="CUST469"/>
    <s v="Male"/>
    <n v="18"/>
    <x v="0"/>
    <x v="0"/>
    <n v="25"/>
    <n v="75"/>
  </r>
  <r>
    <n v="470"/>
    <d v="2023-05-17T00:00:00"/>
    <s v="CUST470"/>
    <s v="Female"/>
    <n v="57"/>
    <x v="1"/>
    <x v="1"/>
    <n v="500"/>
    <n v="1000"/>
  </r>
  <r>
    <n v="471"/>
    <d v="2023-03-23T00:00:00"/>
    <s v="CUST471"/>
    <s v="Male"/>
    <n v="32"/>
    <x v="1"/>
    <x v="0"/>
    <n v="50"/>
    <n v="150"/>
  </r>
  <r>
    <n v="472"/>
    <d v="2023-12-26T00:00:00"/>
    <s v="CUST472"/>
    <s v="Female"/>
    <n v="38"/>
    <x v="0"/>
    <x v="0"/>
    <n v="300"/>
    <n v="900"/>
  </r>
  <r>
    <n v="473"/>
    <d v="2023-02-25T00:00:00"/>
    <s v="CUST473"/>
    <s v="Male"/>
    <n v="64"/>
    <x v="0"/>
    <x v="2"/>
    <n v="50"/>
    <n v="50"/>
  </r>
  <r>
    <n v="474"/>
    <d v="2023-07-15T00:00:00"/>
    <s v="CUST474"/>
    <s v="Female"/>
    <n v="26"/>
    <x v="1"/>
    <x v="0"/>
    <n v="500"/>
    <n v="1500"/>
  </r>
  <r>
    <n v="475"/>
    <d v="2023-01-20T00:00:00"/>
    <s v="CUST475"/>
    <s v="Male"/>
    <n v="26"/>
    <x v="1"/>
    <x v="0"/>
    <n v="25"/>
    <n v="75"/>
  </r>
  <r>
    <n v="476"/>
    <d v="2023-08-29T00:00:00"/>
    <s v="CUST476"/>
    <s v="Female"/>
    <n v="27"/>
    <x v="1"/>
    <x v="3"/>
    <n v="500"/>
    <n v="2000"/>
  </r>
  <r>
    <n v="477"/>
    <d v="2023-04-24T00:00:00"/>
    <s v="CUST477"/>
    <s v="Male"/>
    <n v="43"/>
    <x v="1"/>
    <x v="3"/>
    <n v="30"/>
    <n v="120"/>
  </r>
  <r>
    <n v="478"/>
    <d v="2023-04-13T00:00:00"/>
    <s v="CUST478"/>
    <s v="Female"/>
    <n v="58"/>
    <x v="1"/>
    <x v="1"/>
    <n v="30"/>
    <n v="60"/>
  </r>
  <r>
    <n v="479"/>
    <d v="2023-08-24T00:00:00"/>
    <s v="CUST479"/>
    <s v="Male"/>
    <n v="52"/>
    <x v="2"/>
    <x v="3"/>
    <n v="300"/>
    <n v="1200"/>
  </r>
  <r>
    <n v="480"/>
    <d v="2023-06-29T00:00:00"/>
    <s v="CUST480"/>
    <s v="Female"/>
    <n v="42"/>
    <x v="0"/>
    <x v="3"/>
    <n v="500"/>
    <n v="2000"/>
  </r>
  <r>
    <n v="481"/>
    <d v="2023-06-06T00:00:00"/>
    <s v="CUST481"/>
    <s v="Female"/>
    <n v="43"/>
    <x v="2"/>
    <x v="3"/>
    <n v="300"/>
    <n v="1200"/>
  </r>
  <r>
    <n v="482"/>
    <d v="2023-04-27T00:00:00"/>
    <s v="CUST482"/>
    <s v="Female"/>
    <n v="28"/>
    <x v="1"/>
    <x v="3"/>
    <n v="300"/>
    <n v="1200"/>
  </r>
  <r>
    <n v="483"/>
    <d v="2023-04-25T00:00:00"/>
    <s v="CUST483"/>
    <s v="Male"/>
    <n v="55"/>
    <x v="1"/>
    <x v="2"/>
    <n v="30"/>
    <n v="30"/>
  </r>
  <r>
    <n v="484"/>
    <d v="2023-01-13T00:00:00"/>
    <s v="CUST484"/>
    <s v="Female"/>
    <n v="19"/>
    <x v="1"/>
    <x v="3"/>
    <n v="300"/>
    <n v="1200"/>
  </r>
  <r>
    <n v="485"/>
    <d v="2023-12-04T00:00:00"/>
    <s v="CUST485"/>
    <s v="Male"/>
    <n v="24"/>
    <x v="2"/>
    <x v="2"/>
    <n v="30"/>
    <n v="30"/>
  </r>
  <r>
    <n v="486"/>
    <d v="2023-04-09T00:00:00"/>
    <s v="CUST486"/>
    <s v="Female"/>
    <n v="35"/>
    <x v="2"/>
    <x v="2"/>
    <n v="25"/>
    <n v="25"/>
  </r>
  <r>
    <n v="487"/>
    <d v="2023-07-24T00:00:00"/>
    <s v="CUST487"/>
    <s v="Male"/>
    <n v="44"/>
    <x v="1"/>
    <x v="3"/>
    <n v="500"/>
    <n v="2000"/>
  </r>
  <r>
    <n v="488"/>
    <d v="2023-06-18T00:00:00"/>
    <s v="CUST488"/>
    <s v="Female"/>
    <n v="51"/>
    <x v="2"/>
    <x v="0"/>
    <n v="300"/>
    <n v="900"/>
  </r>
  <r>
    <n v="489"/>
    <d v="2023-05-23T00:00:00"/>
    <s v="CUST489"/>
    <s v="Male"/>
    <n v="44"/>
    <x v="2"/>
    <x v="2"/>
    <n v="30"/>
    <n v="30"/>
  </r>
  <r>
    <n v="490"/>
    <d v="2023-02-05T00:00:00"/>
    <s v="CUST490"/>
    <s v="Male"/>
    <n v="34"/>
    <x v="1"/>
    <x v="0"/>
    <n v="50"/>
    <n v="150"/>
  </r>
  <r>
    <n v="491"/>
    <d v="2023-05-23T00:00:00"/>
    <s v="CUST491"/>
    <s v="Female"/>
    <n v="60"/>
    <x v="2"/>
    <x v="0"/>
    <n v="300"/>
    <n v="900"/>
  </r>
  <r>
    <n v="492"/>
    <d v="2023-06-29T00:00:00"/>
    <s v="CUST492"/>
    <s v="Male"/>
    <n v="61"/>
    <x v="0"/>
    <x v="3"/>
    <n v="25"/>
    <n v="100"/>
  </r>
  <r>
    <n v="493"/>
    <d v="2023-11-25T00:00:00"/>
    <s v="CUST493"/>
    <s v="Male"/>
    <n v="41"/>
    <x v="0"/>
    <x v="1"/>
    <n v="25"/>
    <n v="50"/>
  </r>
  <r>
    <n v="494"/>
    <d v="2023-09-18T00:00:00"/>
    <s v="CUST494"/>
    <s v="Female"/>
    <n v="42"/>
    <x v="0"/>
    <x v="3"/>
    <n v="50"/>
    <n v="200"/>
  </r>
  <r>
    <n v="495"/>
    <d v="2023-07-24T00:00:00"/>
    <s v="CUST495"/>
    <s v="Male"/>
    <n v="24"/>
    <x v="0"/>
    <x v="1"/>
    <n v="30"/>
    <n v="60"/>
  </r>
  <r>
    <n v="496"/>
    <d v="2023-12-14T00:00:00"/>
    <s v="CUST496"/>
    <s v="Male"/>
    <n v="23"/>
    <x v="1"/>
    <x v="1"/>
    <n v="300"/>
    <n v="600"/>
  </r>
  <r>
    <n v="497"/>
    <d v="2023-10-02T00:00:00"/>
    <s v="CUST497"/>
    <s v="Male"/>
    <n v="41"/>
    <x v="1"/>
    <x v="3"/>
    <n v="30"/>
    <n v="120"/>
  </r>
  <r>
    <n v="498"/>
    <d v="2023-06-19T00:00:00"/>
    <s v="CUST498"/>
    <s v="Female"/>
    <n v="50"/>
    <x v="1"/>
    <x v="3"/>
    <n v="25"/>
    <n v="100"/>
  </r>
  <r>
    <n v="499"/>
    <d v="2023-01-15T00:00:00"/>
    <s v="CUST499"/>
    <s v="Male"/>
    <n v="46"/>
    <x v="0"/>
    <x v="1"/>
    <n v="30"/>
    <n v="60"/>
  </r>
  <r>
    <n v="500"/>
    <d v="2023-03-01T00:00:00"/>
    <s v="CUST500"/>
    <s v="Female"/>
    <n v="60"/>
    <x v="0"/>
    <x v="3"/>
    <n v="25"/>
    <n v="100"/>
  </r>
  <r>
    <n v="501"/>
    <d v="2023-05-14T00:00:00"/>
    <s v="CUST501"/>
    <s v="Male"/>
    <n v="39"/>
    <x v="2"/>
    <x v="1"/>
    <n v="30"/>
    <n v="60"/>
  </r>
  <r>
    <n v="502"/>
    <d v="2023-04-02T00:00:00"/>
    <s v="CUST502"/>
    <s v="Male"/>
    <n v="43"/>
    <x v="2"/>
    <x v="0"/>
    <n v="50"/>
    <n v="150"/>
  </r>
  <r>
    <n v="503"/>
    <d v="2023-10-25T00:00:00"/>
    <s v="CUST503"/>
    <s v="Male"/>
    <n v="45"/>
    <x v="0"/>
    <x v="3"/>
    <n v="500"/>
    <n v="2000"/>
  </r>
  <r>
    <n v="504"/>
    <d v="2023-05-16T00:00:00"/>
    <s v="CUST504"/>
    <s v="Female"/>
    <n v="38"/>
    <x v="0"/>
    <x v="0"/>
    <n v="50"/>
    <n v="150"/>
  </r>
  <r>
    <n v="505"/>
    <d v="2023-01-20T00:00:00"/>
    <s v="CUST505"/>
    <s v="Male"/>
    <n v="24"/>
    <x v="0"/>
    <x v="2"/>
    <n v="50"/>
    <n v="50"/>
  </r>
  <r>
    <n v="506"/>
    <d v="2023-02-25T00:00:00"/>
    <s v="CUST506"/>
    <s v="Male"/>
    <n v="34"/>
    <x v="0"/>
    <x v="0"/>
    <n v="500"/>
    <n v="1500"/>
  </r>
  <r>
    <n v="507"/>
    <d v="2023-11-02T00:00:00"/>
    <s v="CUST507"/>
    <s v="Female"/>
    <n v="37"/>
    <x v="2"/>
    <x v="0"/>
    <n v="500"/>
    <n v="1500"/>
  </r>
  <r>
    <n v="508"/>
    <d v="2023-08-11T00:00:00"/>
    <s v="CUST508"/>
    <s v="Male"/>
    <n v="58"/>
    <x v="0"/>
    <x v="1"/>
    <n v="300"/>
    <n v="600"/>
  </r>
  <r>
    <n v="509"/>
    <d v="2023-06-26T00:00:00"/>
    <s v="CUST509"/>
    <s v="Female"/>
    <n v="37"/>
    <x v="2"/>
    <x v="0"/>
    <n v="300"/>
    <n v="900"/>
  </r>
  <r>
    <n v="510"/>
    <d v="2023-06-10T00:00:00"/>
    <s v="CUST510"/>
    <s v="Female"/>
    <n v="39"/>
    <x v="0"/>
    <x v="3"/>
    <n v="50"/>
    <n v="200"/>
  </r>
  <r>
    <n v="511"/>
    <d v="2023-08-12T00:00:00"/>
    <s v="CUST511"/>
    <s v="Male"/>
    <n v="45"/>
    <x v="0"/>
    <x v="1"/>
    <n v="50"/>
    <n v="100"/>
  </r>
  <r>
    <n v="512"/>
    <d v="2023-11-07T00:00:00"/>
    <s v="CUST512"/>
    <s v="Female"/>
    <n v="57"/>
    <x v="0"/>
    <x v="2"/>
    <n v="25"/>
    <n v="25"/>
  </r>
  <r>
    <n v="513"/>
    <d v="2023-09-19T00:00:00"/>
    <s v="CUST513"/>
    <s v="Male"/>
    <n v="24"/>
    <x v="2"/>
    <x v="3"/>
    <n v="25"/>
    <n v="100"/>
  </r>
  <r>
    <n v="514"/>
    <d v="2023-03-01T00:00:00"/>
    <s v="CUST514"/>
    <s v="Female"/>
    <n v="18"/>
    <x v="2"/>
    <x v="2"/>
    <n v="300"/>
    <n v="300"/>
  </r>
  <r>
    <n v="515"/>
    <d v="2023-07-17T00:00:00"/>
    <s v="CUST515"/>
    <s v="Female"/>
    <n v="49"/>
    <x v="1"/>
    <x v="0"/>
    <n v="300"/>
    <n v="900"/>
  </r>
  <r>
    <n v="516"/>
    <d v="2023-10-23T00:00:00"/>
    <s v="CUST516"/>
    <s v="Male"/>
    <n v="30"/>
    <x v="0"/>
    <x v="3"/>
    <n v="25"/>
    <n v="100"/>
  </r>
  <r>
    <n v="517"/>
    <d v="2023-04-08T00:00:00"/>
    <s v="CUST517"/>
    <s v="Female"/>
    <n v="47"/>
    <x v="1"/>
    <x v="3"/>
    <n v="25"/>
    <n v="100"/>
  </r>
  <r>
    <n v="518"/>
    <d v="2023-05-11T00:00:00"/>
    <s v="CUST518"/>
    <s v="Female"/>
    <n v="40"/>
    <x v="1"/>
    <x v="2"/>
    <n v="30"/>
    <n v="30"/>
  </r>
  <r>
    <n v="519"/>
    <d v="2023-01-23T00:00:00"/>
    <s v="CUST519"/>
    <s v="Female"/>
    <n v="36"/>
    <x v="2"/>
    <x v="3"/>
    <n v="30"/>
    <n v="120"/>
  </r>
  <r>
    <n v="520"/>
    <d v="2023-12-29T00:00:00"/>
    <s v="CUST520"/>
    <s v="Female"/>
    <n v="49"/>
    <x v="2"/>
    <x v="3"/>
    <n v="25"/>
    <n v="100"/>
  </r>
  <r>
    <n v="521"/>
    <d v="2023-08-12T00:00:00"/>
    <s v="CUST521"/>
    <s v="Female"/>
    <n v="47"/>
    <x v="1"/>
    <x v="3"/>
    <n v="30"/>
    <n v="120"/>
  </r>
  <r>
    <n v="522"/>
    <d v="2023-01-01T00:00:00"/>
    <s v="CUST522"/>
    <s v="Male"/>
    <n v="46"/>
    <x v="0"/>
    <x v="0"/>
    <n v="500"/>
    <n v="1500"/>
  </r>
  <r>
    <n v="523"/>
    <d v="2023-09-24T00:00:00"/>
    <s v="CUST523"/>
    <s v="Female"/>
    <n v="62"/>
    <x v="2"/>
    <x v="2"/>
    <n v="300"/>
    <n v="300"/>
  </r>
  <r>
    <n v="524"/>
    <d v="2023-10-03T00:00:00"/>
    <s v="CUST524"/>
    <s v="Male"/>
    <n v="46"/>
    <x v="0"/>
    <x v="3"/>
    <n v="300"/>
    <n v="1200"/>
  </r>
  <r>
    <n v="525"/>
    <d v="2023-12-18T00:00:00"/>
    <s v="CUST525"/>
    <s v="Female"/>
    <n v="47"/>
    <x v="0"/>
    <x v="1"/>
    <n v="25"/>
    <n v="50"/>
  </r>
  <r>
    <n v="526"/>
    <d v="2023-12-10T00:00:00"/>
    <s v="CUST526"/>
    <s v="Male"/>
    <n v="33"/>
    <x v="1"/>
    <x v="1"/>
    <n v="50"/>
    <n v="100"/>
  </r>
  <r>
    <n v="527"/>
    <d v="2023-04-11T00:00:00"/>
    <s v="CUST527"/>
    <s v="Male"/>
    <n v="57"/>
    <x v="1"/>
    <x v="1"/>
    <n v="25"/>
    <n v="50"/>
  </r>
  <r>
    <n v="528"/>
    <d v="2023-07-06T00:00:00"/>
    <s v="CUST528"/>
    <s v="Female"/>
    <n v="36"/>
    <x v="1"/>
    <x v="1"/>
    <n v="30"/>
    <n v="60"/>
  </r>
  <r>
    <n v="529"/>
    <d v="2023-08-09T00:00:00"/>
    <s v="CUST529"/>
    <s v="Female"/>
    <n v="35"/>
    <x v="1"/>
    <x v="0"/>
    <n v="50"/>
    <n v="150"/>
  </r>
  <r>
    <n v="530"/>
    <d v="2023-02-05T00:00:00"/>
    <s v="CUST530"/>
    <s v="Female"/>
    <n v="18"/>
    <x v="2"/>
    <x v="3"/>
    <n v="30"/>
    <n v="120"/>
  </r>
  <r>
    <n v="531"/>
    <d v="2023-12-07T00:00:00"/>
    <s v="CUST531"/>
    <s v="Male"/>
    <n v="31"/>
    <x v="2"/>
    <x v="2"/>
    <n v="500"/>
    <n v="500"/>
  </r>
  <r>
    <n v="532"/>
    <d v="2023-06-19T00:00:00"/>
    <s v="CUST532"/>
    <s v="Female"/>
    <n v="64"/>
    <x v="1"/>
    <x v="3"/>
    <n v="30"/>
    <n v="120"/>
  </r>
  <r>
    <n v="533"/>
    <d v="2023-11-16T00:00:00"/>
    <s v="CUST533"/>
    <s v="Male"/>
    <n v="19"/>
    <x v="2"/>
    <x v="0"/>
    <n v="500"/>
    <n v="1500"/>
  </r>
  <r>
    <n v="534"/>
    <d v="2023-06-10T00:00:00"/>
    <s v="CUST534"/>
    <s v="Male"/>
    <n v="45"/>
    <x v="1"/>
    <x v="1"/>
    <n v="500"/>
    <n v="1000"/>
  </r>
  <r>
    <n v="535"/>
    <d v="2023-12-06T00:00:00"/>
    <s v="CUST535"/>
    <s v="Male"/>
    <n v="47"/>
    <x v="0"/>
    <x v="0"/>
    <n v="30"/>
    <n v="90"/>
  </r>
  <r>
    <n v="536"/>
    <d v="2023-03-05T00:00:00"/>
    <s v="CUST536"/>
    <s v="Female"/>
    <n v="55"/>
    <x v="0"/>
    <x v="3"/>
    <n v="30"/>
    <n v="120"/>
  </r>
  <r>
    <n v="537"/>
    <d v="2023-06-03T00:00:00"/>
    <s v="CUST537"/>
    <s v="Female"/>
    <n v="21"/>
    <x v="0"/>
    <x v="2"/>
    <n v="500"/>
    <n v="500"/>
  </r>
  <r>
    <n v="538"/>
    <d v="2023-09-17T00:00:00"/>
    <s v="CUST538"/>
    <s v="Male"/>
    <n v="18"/>
    <x v="1"/>
    <x v="0"/>
    <n v="50"/>
    <n v="150"/>
  </r>
  <r>
    <n v="539"/>
    <d v="2023-06-08T00:00:00"/>
    <s v="CUST539"/>
    <s v="Male"/>
    <n v="25"/>
    <x v="0"/>
    <x v="2"/>
    <n v="500"/>
    <n v="500"/>
  </r>
  <r>
    <n v="540"/>
    <d v="2023-12-08T00:00:00"/>
    <s v="CUST540"/>
    <s v="Female"/>
    <n v="46"/>
    <x v="2"/>
    <x v="0"/>
    <n v="300"/>
    <n v="900"/>
  </r>
  <r>
    <n v="541"/>
    <d v="2023-07-29T00:00:00"/>
    <s v="CUST541"/>
    <s v="Male"/>
    <n v="56"/>
    <x v="0"/>
    <x v="2"/>
    <n v="500"/>
    <n v="500"/>
  </r>
  <r>
    <n v="542"/>
    <d v="2023-06-17T00:00:00"/>
    <s v="CUST542"/>
    <s v="Female"/>
    <n v="20"/>
    <x v="0"/>
    <x v="2"/>
    <n v="50"/>
    <n v="50"/>
  </r>
  <r>
    <n v="543"/>
    <d v="2023-07-26T00:00:00"/>
    <s v="CUST543"/>
    <s v="Male"/>
    <n v="49"/>
    <x v="0"/>
    <x v="1"/>
    <n v="300"/>
    <n v="600"/>
  </r>
  <r>
    <n v="544"/>
    <d v="2023-12-23T00:00:00"/>
    <s v="CUST544"/>
    <s v="Female"/>
    <n v="27"/>
    <x v="2"/>
    <x v="2"/>
    <n v="25"/>
    <n v="25"/>
  </r>
  <r>
    <n v="545"/>
    <d v="2023-06-01T00:00:00"/>
    <s v="CUST545"/>
    <s v="Male"/>
    <n v="27"/>
    <x v="1"/>
    <x v="1"/>
    <n v="25"/>
    <n v="50"/>
  </r>
  <r>
    <n v="546"/>
    <d v="2023-10-11T00:00:00"/>
    <s v="CUST546"/>
    <s v="Female"/>
    <n v="36"/>
    <x v="2"/>
    <x v="3"/>
    <n v="50"/>
    <n v="200"/>
  </r>
  <r>
    <n v="547"/>
    <d v="2023-03-07T00:00:00"/>
    <s v="CUST547"/>
    <s v="Male"/>
    <n v="63"/>
    <x v="1"/>
    <x v="3"/>
    <n v="500"/>
    <n v="2000"/>
  </r>
  <r>
    <n v="548"/>
    <d v="2023-04-09T00:00:00"/>
    <s v="CUST548"/>
    <s v="Female"/>
    <n v="51"/>
    <x v="1"/>
    <x v="1"/>
    <n v="30"/>
    <n v="60"/>
  </r>
  <r>
    <n v="549"/>
    <d v="2023-08-04T00:00:00"/>
    <s v="CUST549"/>
    <s v="Female"/>
    <n v="50"/>
    <x v="0"/>
    <x v="1"/>
    <n v="50"/>
    <n v="100"/>
  </r>
  <r>
    <n v="550"/>
    <d v="2023-12-07T00:00:00"/>
    <s v="CUST550"/>
    <s v="Male"/>
    <n v="40"/>
    <x v="1"/>
    <x v="0"/>
    <n v="300"/>
    <n v="900"/>
  </r>
  <r>
    <n v="551"/>
    <d v="2023-07-14T00:00:00"/>
    <s v="CUST551"/>
    <s v="Male"/>
    <n v="45"/>
    <x v="2"/>
    <x v="0"/>
    <n v="300"/>
    <n v="900"/>
  </r>
  <r>
    <n v="552"/>
    <d v="2023-12-13T00:00:00"/>
    <s v="CUST552"/>
    <s v="Female"/>
    <n v="49"/>
    <x v="2"/>
    <x v="0"/>
    <n v="25"/>
    <n v="75"/>
  </r>
  <r>
    <n v="553"/>
    <d v="2023-03-31T00:00:00"/>
    <s v="CUST553"/>
    <s v="Male"/>
    <n v="24"/>
    <x v="1"/>
    <x v="3"/>
    <n v="300"/>
    <n v="1200"/>
  </r>
  <r>
    <n v="554"/>
    <d v="2023-11-12T00:00:00"/>
    <s v="CUST554"/>
    <s v="Female"/>
    <n v="46"/>
    <x v="0"/>
    <x v="0"/>
    <n v="50"/>
    <n v="150"/>
  </r>
  <r>
    <n v="555"/>
    <d v="2023-10-19T00:00:00"/>
    <s v="CUST555"/>
    <s v="Male"/>
    <n v="25"/>
    <x v="0"/>
    <x v="2"/>
    <n v="300"/>
    <n v="300"/>
  </r>
  <r>
    <n v="556"/>
    <d v="2023-06-04T00:00:00"/>
    <s v="CUST556"/>
    <s v="Female"/>
    <n v="18"/>
    <x v="2"/>
    <x v="2"/>
    <n v="50"/>
    <n v="50"/>
  </r>
  <r>
    <n v="557"/>
    <d v="2023-07-27T00:00:00"/>
    <s v="CUST557"/>
    <s v="Female"/>
    <n v="20"/>
    <x v="0"/>
    <x v="0"/>
    <n v="30"/>
    <n v="90"/>
  </r>
  <r>
    <n v="558"/>
    <d v="2023-10-08T00:00:00"/>
    <s v="CUST558"/>
    <s v="Female"/>
    <n v="41"/>
    <x v="1"/>
    <x v="2"/>
    <n v="25"/>
    <n v="25"/>
  </r>
  <r>
    <n v="559"/>
    <d v="2023-01-01T00:00:00"/>
    <s v="CUST559"/>
    <s v="Female"/>
    <n v="40"/>
    <x v="1"/>
    <x v="3"/>
    <n v="300"/>
    <n v="1200"/>
  </r>
  <r>
    <n v="560"/>
    <d v="2023-06-05T00:00:00"/>
    <s v="CUST560"/>
    <s v="Female"/>
    <n v="25"/>
    <x v="2"/>
    <x v="2"/>
    <n v="50"/>
    <n v="50"/>
  </r>
  <r>
    <n v="561"/>
    <d v="2023-05-27T00:00:00"/>
    <s v="CUST561"/>
    <s v="Female"/>
    <n v="64"/>
    <x v="1"/>
    <x v="3"/>
    <n v="500"/>
    <n v="2000"/>
  </r>
  <r>
    <n v="562"/>
    <d v="2023-04-18T00:00:00"/>
    <s v="CUST562"/>
    <s v="Male"/>
    <n v="54"/>
    <x v="2"/>
    <x v="1"/>
    <n v="25"/>
    <n v="50"/>
  </r>
  <r>
    <n v="563"/>
    <d v="2023-08-09T00:00:00"/>
    <s v="CUST563"/>
    <s v="Male"/>
    <n v="20"/>
    <x v="1"/>
    <x v="1"/>
    <n v="30"/>
    <n v="60"/>
  </r>
  <r>
    <n v="564"/>
    <d v="2023-10-24T00:00:00"/>
    <s v="CUST564"/>
    <s v="Male"/>
    <n v="50"/>
    <x v="2"/>
    <x v="1"/>
    <n v="50"/>
    <n v="100"/>
  </r>
  <r>
    <n v="565"/>
    <d v="2023-11-07T00:00:00"/>
    <s v="CUST565"/>
    <s v="Female"/>
    <n v="45"/>
    <x v="0"/>
    <x v="1"/>
    <n v="30"/>
    <n v="60"/>
  </r>
  <r>
    <n v="566"/>
    <d v="2023-12-02T00:00:00"/>
    <s v="CUST566"/>
    <s v="Female"/>
    <n v="64"/>
    <x v="1"/>
    <x v="2"/>
    <n v="30"/>
    <n v="30"/>
  </r>
  <r>
    <n v="567"/>
    <d v="2023-06-14T00:00:00"/>
    <s v="CUST567"/>
    <s v="Female"/>
    <n v="25"/>
    <x v="1"/>
    <x v="0"/>
    <n v="300"/>
    <n v="900"/>
  </r>
  <r>
    <n v="568"/>
    <d v="2023-08-27T00:00:00"/>
    <s v="CUST568"/>
    <s v="Female"/>
    <n v="51"/>
    <x v="2"/>
    <x v="2"/>
    <n v="300"/>
    <n v="300"/>
  </r>
  <r>
    <n v="569"/>
    <d v="2023-08-15T00:00:00"/>
    <s v="CUST569"/>
    <s v="Male"/>
    <n v="52"/>
    <x v="2"/>
    <x v="3"/>
    <n v="50"/>
    <n v="200"/>
  </r>
  <r>
    <n v="570"/>
    <d v="2023-08-15T00:00:00"/>
    <s v="CUST570"/>
    <s v="Male"/>
    <n v="49"/>
    <x v="1"/>
    <x v="2"/>
    <n v="500"/>
    <n v="500"/>
  </r>
  <r>
    <n v="571"/>
    <d v="2023-12-12T00:00:00"/>
    <s v="CUST571"/>
    <s v="Female"/>
    <n v="41"/>
    <x v="2"/>
    <x v="2"/>
    <n v="50"/>
    <n v="50"/>
  </r>
  <r>
    <n v="572"/>
    <d v="2023-04-20T00:00:00"/>
    <s v="CUST572"/>
    <s v="Male"/>
    <n v="31"/>
    <x v="1"/>
    <x v="3"/>
    <n v="500"/>
    <n v="2000"/>
  </r>
  <r>
    <n v="573"/>
    <d v="2023-09-19T00:00:00"/>
    <s v="CUST573"/>
    <s v="Male"/>
    <n v="49"/>
    <x v="0"/>
    <x v="1"/>
    <n v="30"/>
    <n v="60"/>
  </r>
  <r>
    <n v="574"/>
    <d v="2023-08-31T00:00:00"/>
    <s v="CUST574"/>
    <s v="Female"/>
    <n v="63"/>
    <x v="2"/>
    <x v="1"/>
    <n v="25"/>
    <n v="50"/>
  </r>
  <r>
    <n v="575"/>
    <d v="2023-03-28T00:00:00"/>
    <s v="CUST575"/>
    <s v="Male"/>
    <n v="60"/>
    <x v="1"/>
    <x v="1"/>
    <n v="50"/>
    <n v="100"/>
  </r>
  <r>
    <n v="576"/>
    <d v="2023-12-04T00:00:00"/>
    <s v="CUST576"/>
    <s v="Female"/>
    <n v="33"/>
    <x v="0"/>
    <x v="0"/>
    <n v="50"/>
    <n v="150"/>
  </r>
  <r>
    <n v="577"/>
    <d v="2023-02-13T00:00:00"/>
    <s v="CUST577"/>
    <s v="Male"/>
    <n v="21"/>
    <x v="0"/>
    <x v="3"/>
    <n v="500"/>
    <n v="2000"/>
  </r>
  <r>
    <n v="578"/>
    <d v="2023-05-26T00:00:00"/>
    <s v="CUST578"/>
    <s v="Female"/>
    <n v="54"/>
    <x v="1"/>
    <x v="3"/>
    <n v="30"/>
    <n v="120"/>
  </r>
  <r>
    <n v="579"/>
    <d v="2023-09-21T00:00:00"/>
    <s v="CUST579"/>
    <s v="Female"/>
    <n v="38"/>
    <x v="2"/>
    <x v="2"/>
    <n v="30"/>
    <n v="30"/>
  </r>
  <r>
    <n v="580"/>
    <d v="2023-12-06T00:00:00"/>
    <s v="CUST580"/>
    <s v="Female"/>
    <n v="31"/>
    <x v="1"/>
    <x v="0"/>
    <n v="500"/>
    <n v="1500"/>
  </r>
  <r>
    <n v="581"/>
    <d v="2023-11-21T00:00:00"/>
    <s v="CUST581"/>
    <s v="Female"/>
    <n v="48"/>
    <x v="0"/>
    <x v="1"/>
    <n v="30"/>
    <n v="60"/>
  </r>
  <r>
    <n v="582"/>
    <d v="2023-11-14T00:00:00"/>
    <s v="CUST582"/>
    <s v="Male"/>
    <n v="35"/>
    <x v="1"/>
    <x v="0"/>
    <n v="300"/>
    <n v="900"/>
  </r>
  <r>
    <n v="583"/>
    <d v="2023-06-21T00:00:00"/>
    <s v="CUST583"/>
    <s v="Female"/>
    <n v="24"/>
    <x v="2"/>
    <x v="3"/>
    <n v="25"/>
    <n v="100"/>
  </r>
  <r>
    <n v="584"/>
    <d v="2023-02-17T00:00:00"/>
    <s v="CUST584"/>
    <s v="Female"/>
    <n v="27"/>
    <x v="0"/>
    <x v="3"/>
    <n v="50"/>
    <n v="200"/>
  </r>
  <r>
    <n v="585"/>
    <d v="2023-05-01T00:00:00"/>
    <s v="CUST585"/>
    <s v="Female"/>
    <n v="24"/>
    <x v="1"/>
    <x v="2"/>
    <n v="25"/>
    <n v="25"/>
  </r>
  <r>
    <n v="586"/>
    <d v="2023-12-11T00:00:00"/>
    <s v="CUST586"/>
    <s v="Male"/>
    <n v="50"/>
    <x v="2"/>
    <x v="2"/>
    <n v="50"/>
    <n v="50"/>
  </r>
  <r>
    <n v="587"/>
    <d v="2023-06-08T00:00:00"/>
    <s v="CUST587"/>
    <s v="Female"/>
    <n v="40"/>
    <x v="0"/>
    <x v="3"/>
    <n v="300"/>
    <n v="1200"/>
  </r>
  <r>
    <n v="588"/>
    <d v="2023-04-26T00:00:00"/>
    <s v="CUST588"/>
    <s v="Male"/>
    <n v="38"/>
    <x v="2"/>
    <x v="1"/>
    <n v="30"/>
    <n v="60"/>
  </r>
  <r>
    <n v="589"/>
    <d v="2023-04-12T00:00:00"/>
    <s v="CUST589"/>
    <s v="Female"/>
    <n v="36"/>
    <x v="0"/>
    <x v="1"/>
    <n v="500"/>
    <n v="1000"/>
  </r>
  <r>
    <n v="590"/>
    <d v="2023-03-17T00:00:00"/>
    <s v="CUST590"/>
    <s v="Male"/>
    <n v="36"/>
    <x v="1"/>
    <x v="0"/>
    <n v="300"/>
    <n v="900"/>
  </r>
  <r>
    <n v="591"/>
    <d v="2023-01-13T00:00:00"/>
    <s v="CUST591"/>
    <s v="Male"/>
    <n v="53"/>
    <x v="2"/>
    <x v="3"/>
    <n v="25"/>
    <n v="100"/>
  </r>
  <r>
    <n v="592"/>
    <d v="2023-01-24T00:00:00"/>
    <s v="CUST592"/>
    <s v="Female"/>
    <n v="46"/>
    <x v="0"/>
    <x v="3"/>
    <n v="500"/>
    <n v="2000"/>
  </r>
  <r>
    <n v="593"/>
    <d v="2023-05-06T00:00:00"/>
    <s v="CUST593"/>
    <s v="Male"/>
    <n v="35"/>
    <x v="2"/>
    <x v="1"/>
    <n v="30"/>
    <n v="60"/>
  </r>
  <r>
    <n v="594"/>
    <d v="2023-09-01T00:00:00"/>
    <s v="CUST594"/>
    <s v="Female"/>
    <n v="19"/>
    <x v="2"/>
    <x v="1"/>
    <n v="300"/>
    <n v="600"/>
  </r>
  <r>
    <n v="595"/>
    <d v="2023-11-09T00:00:00"/>
    <s v="CUST595"/>
    <s v="Female"/>
    <n v="18"/>
    <x v="1"/>
    <x v="3"/>
    <n v="500"/>
    <n v="2000"/>
  </r>
  <r>
    <n v="596"/>
    <d v="2023-02-07T00:00:00"/>
    <s v="CUST596"/>
    <s v="Female"/>
    <n v="64"/>
    <x v="2"/>
    <x v="2"/>
    <n v="300"/>
    <n v="300"/>
  </r>
  <r>
    <n v="597"/>
    <d v="2023-08-22T00:00:00"/>
    <s v="CUST597"/>
    <s v="Male"/>
    <n v="22"/>
    <x v="0"/>
    <x v="3"/>
    <n v="300"/>
    <n v="1200"/>
  </r>
  <r>
    <n v="598"/>
    <d v="2023-08-01T00:00:00"/>
    <s v="CUST598"/>
    <s v="Male"/>
    <n v="37"/>
    <x v="0"/>
    <x v="3"/>
    <n v="30"/>
    <n v="120"/>
  </r>
  <r>
    <n v="599"/>
    <d v="2023-11-19T00:00:00"/>
    <s v="CUST599"/>
    <s v="Female"/>
    <n v="28"/>
    <x v="0"/>
    <x v="1"/>
    <n v="50"/>
    <n v="100"/>
  </r>
  <r>
    <n v="600"/>
    <d v="2023-10-22T00:00:00"/>
    <s v="CUST600"/>
    <s v="Female"/>
    <n v="59"/>
    <x v="0"/>
    <x v="1"/>
    <n v="500"/>
    <n v="1000"/>
  </r>
  <r>
    <n v="601"/>
    <d v="2023-04-10T00:00:00"/>
    <s v="CUST601"/>
    <s v="Male"/>
    <n v="19"/>
    <x v="1"/>
    <x v="2"/>
    <n v="30"/>
    <n v="30"/>
  </r>
  <r>
    <n v="602"/>
    <d v="2023-12-23T00:00:00"/>
    <s v="CUST602"/>
    <s v="Female"/>
    <n v="20"/>
    <x v="2"/>
    <x v="2"/>
    <n v="300"/>
    <n v="300"/>
  </r>
  <r>
    <n v="603"/>
    <d v="2023-07-16T00:00:00"/>
    <s v="CUST603"/>
    <s v="Female"/>
    <n v="40"/>
    <x v="1"/>
    <x v="0"/>
    <n v="30"/>
    <n v="90"/>
  </r>
  <r>
    <n v="604"/>
    <d v="2023-09-11T00:00:00"/>
    <s v="CUST604"/>
    <s v="Female"/>
    <n v="29"/>
    <x v="2"/>
    <x v="3"/>
    <n v="50"/>
    <n v="200"/>
  </r>
  <r>
    <n v="605"/>
    <d v="2023-07-24T00:00:00"/>
    <s v="CUST605"/>
    <s v="Male"/>
    <n v="37"/>
    <x v="2"/>
    <x v="1"/>
    <n v="500"/>
    <n v="1000"/>
  </r>
  <r>
    <n v="606"/>
    <d v="2023-05-05T00:00:00"/>
    <s v="CUST606"/>
    <s v="Male"/>
    <n v="22"/>
    <x v="2"/>
    <x v="2"/>
    <n v="50"/>
    <n v="50"/>
  </r>
  <r>
    <n v="607"/>
    <d v="2023-03-17T00:00:00"/>
    <s v="CUST607"/>
    <s v="Male"/>
    <n v="54"/>
    <x v="1"/>
    <x v="0"/>
    <n v="25"/>
    <n v="75"/>
  </r>
  <r>
    <n v="608"/>
    <d v="2023-12-02T00:00:00"/>
    <s v="CUST608"/>
    <s v="Female"/>
    <n v="55"/>
    <x v="2"/>
    <x v="0"/>
    <n v="500"/>
    <n v="1500"/>
  </r>
  <r>
    <n v="609"/>
    <d v="2023-12-19T00:00:00"/>
    <s v="CUST609"/>
    <s v="Female"/>
    <n v="47"/>
    <x v="1"/>
    <x v="1"/>
    <n v="50"/>
    <n v="100"/>
  </r>
  <r>
    <n v="610"/>
    <d v="2023-01-03T00:00:00"/>
    <s v="CUST610"/>
    <s v="Female"/>
    <n v="26"/>
    <x v="0"/>
    <x v="1"/>
    <n v="300"/>
    <n v="600"/>
  </r>
  <r>
    <n v="611"/>
    <d v="2023-02-24T00:00:00"/>
    <s v="CUST611"/>
    <s v="Male"/>
    <n v="51"/>
    <x v="0"/>
    <x v="0"/>
    <n v="500"/>
    <n v="1500"/>
  </r>
  <r>
    <n v="612"/>
    <d v="2023-08-06T00:00:00"/>
    <s v="CUST612"/>
    <s v="Female"/>
    <n v="61"/>
    <x v="2"/>
    <x v="2"/>
    <n v="500"/>
    <n v="500"/>
  </r>
  <r>
    <n v="613"/>
    <d v="2023-04-23T00:00:00"/>
    <s v="CUST613"/>
    <s v="Female"/>
    <n v="52"/>
    <x v="1"/>
    <x v="0"/>
    <n v="30"/>
    <n v="90"/>
  </r>
  <r>
    <n v="614"/>
    <d v="2023-04-01T00:00:00"/>
    <s v="CUST614"/>
    <s v="Female"/>
    <n v="39"/>
    <x v="0"/>
    <x v="3"/>
    <n v="300"/>
    <n v="1200"/>
  </r>
  <r>
    <n v="615"/>
    <d v="2023-12-23T00:00:00"/>
    <s v="CUST615"/>
    <s v="Female"/>
    <n v="61"/>
    <x v="1"/>
    <x v="3"/>
    <n v="25"/>
    <n v="100"/>
  </r>
  <r>
    <n v="616"/>
    <d v="2023-09-23T00:00:00"/>
    <s v="CUST616"/>
    <s v="Male"/>
    <n v="41"/>
    <x v="1"/>
    <x v="1"/>
    <n v="50"/>
    <n v="100"/>
  </r>
  <r>
    <n v="617"/>
    <d v="2023-08-26T00:00:00"/>
    <s v="CUST617"/>
    <s v="Male"/>
    <n v="34"/>
    <x v="2"/>
    <x v="2"/>
    <n v="30"/>
    <n v="30"/>
  </r>
  <r>
    <n v="618"/>
    <d v="2023-01-26T00:00:00"/>
    <s v="CUST618"/>
    <s v="Female"/>
    <n v="27"/>
    <x v="0"/>
    <x v="2"/>
    <n v="50"/>
    <n v="50"/>
  </r>
  <r>
    <n v="619"/>
    <d v="2023-10-13T00:00:00"/>
    <s v="CUST619"/>
    <s v="Male"/>
    <n v="47"/>
    <x v="2"/>
    <x v="3"/>
    <n v="25"/>
    <n v="100"/>
  </r>
  <r>
    <n v="620"/>
    <d v="2023-05-08T00:00:00"/>
    <s v="CUST620"/>
    <s v="Male"/>
    <n v="63"/>
    <x v="2"/>
    <x v="0"/>
    <n v="25"/>
    <n v="75"/>
  </r>
  <r>
    <n v="621"/>
    <d v="2023-03-04T00:00:00"/>
    <s v="CUST621"/>
    <s v="Female"/>
    <n v="40"/>
    <x v="0"/>
    <x v="1"/>
    <n v="500"/>
    <n v="1000"/>
  </r>
  <r>
    <n v="622"/>
    <d v="2023-08-22T00:00:00"/>
    <s v="CUST622"/>
    <s v="Female"/>
    <n v="49"/>
    <x v="0"/>
    <x v="0"/>
    <n v="25"/>
    <n v="75"/>
  </r>
  <r>
    <n v="623"/>
    <d v="2023-03-10T00:00:00"/>
    <s v="CUST623"/>
    <s v="Male"/>
    <n v="34"/>
    <x v="1"/>
    <x v="0"/>
    <n v="50"/>
    <n v="150"/>
  </r>
  <r>
    <n v="624"/>
    <d v="2023-08-26T00:00:00"/>
    <s v="CUST624"/>
    <s v="Female"/>
    <n v="34"/>
    <x v="0"/>
    <x v="0"/>
    <n v="300"/>
    <n v="900"/>
  </r>
  <r>
    <n v="625"/>
    <d v="2023-12-08T00:00:00"/>
    <s v="CUST625"/>
    <s v="Male"/>
    <n v="31"/>
    <x v="1"/>
    <x v="2"/>
    <n v="300"/>
    <n v="300"/>
  </r>
  <r>
    <n v="626"/>
    <d v="2023-09-29T00:00:00"/>
    <s v="CUST626"/>
    <s v="Female"/>
    <n v="26"/>
    <x v="1"/>
    <x v="3"/>
    <n v="500"/>
    <n v="2000"/>
  </r>
  <r>
    <n v="627"/>
    <d v="2023-10-14T00:00:00"/>
    <s v="CUST627"/>
    <s v="Male"/>
    <n v="57"/>
    <x v="1"/>
    <x v="2"/>
    <n v="50"/>
    <n v="50"/>
  </r>
  <r>
    <n v="628"/>
    <d v="2023-11-01T00:00:00"/>
    <s v="CUST628"/>
    <s v="Female"/>
    <n v="19"/>
    <x v="0"/>
    <x v="3"/>
    <n v="50"/>
    <n v="200"/>
  </r>
  <r>
    <n v="629"/>
    <d v="2023-06-12T00:00:00"/>
    <s v="CUST629"/>
    <s v="Male"/>
    <n v="62"/>
    <x v="2"/>
    <x v="1"/>
    <n v="25"/>
    <n v="50"/>
  </r>
  <r>
    <n v="630"/>
    <d v="2023-08-15T00:00:00"/>
    <s v="CUST630"/>
    <s v="Male"/>
    <n v="42"/>
    <x v="1"/>
    <x v="1"/>
    <n v="50"/>
    <n v="100"/>
  </r>
  <r>
    <n v="631"/>
    <d v="2023-11-10T00:00:00"/>
    <s v="CUST631"/>
    <s v="Male"/>
    <n v="56"/>
    <x v="2"/>
    <x v="0"/>
    <n v="30"/>
    <n v="90"/>
  </r>
  <r>
    <n v="632"/>
    <d v="2023-09-16T00:00:00"/>
    <s v="CUST632"/>
    <s v="Female"/>
    <n v="26"/>
    <x v="2"/>
    <x v="3"/>
    <n v="25"/>
    <n v="100"/>
  </r>
  <r>
    <n v="633"/>
    <d v="2023-08-07T00:00:00"/>
    <s v="CUST633"/>
    <s v="Male"/>
    <n v="39"/>
    <x v="0"/>
    <x v="3"/>
    <n v="30"/>
    <n v="120"/>
  </r>
  <r>
    <n v="634"/>
    <d v="2023-10-08T00:00:00"/>
    <s v="CUST634"/>
    <s v="Male"/>
    <n v="60"/>
    <x v="2"/>
    <x v="3"/>
    <n v="500"/>
    <n v="2000"/>
  </r>
  <r>
    <n v="635"/>
    <d v="2023-08-17T00:00:00"/>
    <s v="CUST635"/>
    <s v="Female"/>
    <n v="63"/>
    <x v="2"/>
    <x v="0"/>
    <n v="300"/>
    <n v="900"/>
  </r>
  <r>
    <n v="636"/>
    <d v="2023-03-23T00:00:00"/>
    <s v="CUST636"/>
    <s v="Female"/>
    <n v="21"/>
    <x v="0"/>
    <x v="0"/>
    <n v="500"/>
    <n v="1500"/>
  </r>
  <r>
    <n v="637"/>
    <d v="2023-09-01T00:00:00"/>
    <s v="CUST637"/>
    <s v="Male"/>
    <n v="43"/>
    <x v="1"/>
    <x v="1"/>
    <n v="300"/>
    <n v="600"/>
  </r>
  <r>
    <n v="638"/>
    <d v="2023-08-19T00:00:00"/>
    <s v="CUST638"/>
    <s v="Male"/>
    <n v="46"/>
    <x v="2"/>
    <x v="2"/>
    <n v="500"/>
    <n v="500"/>
  </r>
  <r>
    <n v="639"/>
    <d v="2023-05-13T00:00:00"/>
    <s v="CUST639"/>
    <s v="Female"/>
    <n v="62"/>
    <x v="0"/>
    <x v="3"/>
    <n v="50"/>
    <n v="200"/>
  </r>
  <r>
    <n v="640"/>
    <d v="2023-05-07T00:00:00"/>
    <s v="CUST640"/>
    <s v="Female"/>
    <n v="51"/>
    <x v="2"/>
    <x v="3"/>
    <n v="30"/>
    <n v="120"/>
  </r>
  <r>
    <n v="641"/>
    <d v="2023-11-23T00:00:00"/>
    <s v="CUST641"/>
    <s v="Female"/>
    <n v="40"/>
    <x v="2"/>
    <x v="2"/>
    <n v="300"/>
    <n v="300"/>
  </r>
  <r>
    <n v="642"/>
    <d v="2023-05-22T00:00:00"/>
    <s v="CUST642"/>
    <s v="Female"/>
    <n v="54"/>
    <x v="1"/>
    <x v="3"/>
    <n v="25"/>
    <n v="100"/>
  </r>
  <r>
    <n v="643"/>
    <d v="2023-09-24T00:00:00"/>
    <s v="CUST643"/>
    <s v="Female"/>
    <n v="28"/>
    <x v="2"/>
    <x v="0"/>
    <n v="30"/>
    <n v="90"/>
  </r>
  <r>
    <n v="644"/>
    <d v="2023-09-06T00:00:00"/>
    <s v="CUST644"/>
    <s v="Male"/>
    <n v="23"/>
    <x v="0"/>
    <x v="0"/>
    <n v="25"/>
    <n v="75"/>
  </r>
  <r>
    <n v="645"/>
    <d v="2023-11-17T00:00:00"/>
    <s v="CUST645"/>
    <s v="Female"/>
    <n v="35"/>
    <x v="2"/>
    <x v="3"/>
    <n v="30"/>
    <n v="120"/>
  </r>
  <r>
    <n v="646"/>
    <d v="2023-05-03T00:00:00"/>
    <s v="CUST646"/>
    <s v="Male"/>
    <n v="38"/>
    <x v="1"/>
    <x v="0"/>
    <n v="30"/>
    <n v="90"/>
  </r>
  <r>
    <n v="647"/>
    <d v="2023-05-21T00:00:00"/>
    <s v="CUST647"/>
    <s v="Male"/>
    <n v="59"/>
    <x v="1"/>
    <x v="0"/>
    <n v="500"/>
    <n v="1500"/>
  </r>
  <r>
    <n v="648"/>
    <d v="2023-08-14T00:00:00"/>
    <s v="CUST648"/>
    <s v="Male"/>
    <n v="53"/>
    <x v="0"/>
    <x v="3"/>
    <n v="300"/>
    <n v="1200"/>
  </r>
  <r>
    <n v="649"/>
    <d v="2023-02-09T00:00:00"/>
    <s v="CUST649"/>
    <s v="Female"/>
    <n v="58"/>
    <x v="1"/>
    <x v="1"/>
    <n v="300"/>
    <n v="600"/>
  </r>
  <r>
    <n v="650"/>
    <d v="2024-01-01T00:00:00"/>
    <s v="CUST650"/>
    <s v="Male"/>
    <n v="55"/>
    <x v="2"/>
    <x v="2"/>
    <n v="30"/>
    <n v="30"/>
  </r>
  <r>
    <n v="651"/>
    <d v="2023-05-27T00:00:00"/>
    <s v="CUST651"/>
    <s v="Male"/>
    <n v="51"/>
    <x v="1"/>
    <x v="0"/>
    <n v="50"/>
    <n v="150"/>
  </r>
  <r>
    <n v="652"/>
    <d v="2023-05-01T00:00:00"/>
    <s v="CUST652"/>
    <s v="Female"/>
    <n v="34"/>
    <x v="0"/>
    <x v="1"/>
    <n v="50"/>
    <n v="100"/>
  </r>
  <r>
    <n v="653"/>
    <d v="2023-05-20T00:00:00"/>
    <s v="CUST653"/>
    <s v="Male"/>
    <n v="54"/>
    <x v="1"/>
    <x v="0"/>
    <n v="25"/>
    <n v="75"/>
  </r>
  <r>
    <n v="654"/>
    <d v="2023-06-21T00:00:00"/>
    <s v="CUST654"/>
    <s v="Male"/>
    <n v="42"/>
    <x v="1"/>
    <x v="0"/>
    <n v="25"/>
    <n v="75"/>
  </r>
  <r>
    <n v="655"/>
    <d v="2023-06-13T00:00:00"/>
    <s v="CUST655"/>
    <s v="Female"/>
    <n v="55"/>
    <x v="1"/>
    <x v="2"/>
    <n v="500"/>
    <n v="500"/>
  </r>
  <r>
    <n v="656"/>
    <d v="2023-10-04T00:00:00"/>
    <s v="CUST656"/>
    <s v="Male"/>
    <n v="29"/>
    <x v="0"/>
    <x v="0"/>
    <n v="30"/>
    <n v="90"/>
  </r>
  <r>
    <n v="657"/>
    <d v="2023-02-11T00:00:00"/>
    <s v="CUST657"/>
    <s v="Male"/>
    <n v="40"/>
    <x v="1"/>
    <x v="2"/>
    <n v="25"/>
    <n v="25"/>
  </r>
  <r>
    <n v="658"/>
    <d v="2023-03-12T00:00:00"/>
    <s v="CUST658"/>
    <s v="Male"/>
    <n v="59"/>
    <x v="1"/>
    <x v="2"/>
    <n v="25"/>
    <n v="25"/>
  </r>
  <r>
    <n v="659"/>
    <d v="2023-03-19T00:00:00"/>
    <s v="CUST659"/>
    <s v="Female"/>
    <n v="39"/>
    <x v="2"/>
    <x v="2"/>
    <n v="30"/>
    <n v="30"/>
  </r>
  <r>
    <n v="660"/>
    <d v="2023-04-29T00:00:00"/>
    <s v="CUST660"/>
    <s v="Female"/>
    <n v="38"/>
    <x v="0"/>
    <x v="1"/>
    <n v="500"/>
    <n v="1000"/>
  </r>
  <r>
    <n v="661"/>
    <d v="2023-07-16T00:00:00"/>
    <s v="CUST661"/>
    <s v="Female"/>
    <n v="44"/>
    <x v="1"/>
    <x v="3"/>
    <n v="25"/>
    <n v="100"/>
  </r>
  <r>
    <n v="662"/>
    <d v="2023-12-22T00:00:00"/>
    <s v="CUST662"/>
    <s v="Male"/>
    <n v="48"/>
    <x v="0"/>
    <x v="1"/>
    <n v="500"/>
    <n v="1000"/>
  </r>
  <r>
    <n v="663"/>
    <d v="2023-03-20T00:00:00"/>
    <s v="CUST663"/>
    <s v="Male"/>
    <n v="23"/>
    <x v="1"/>
    <x v="3"/>
    <n v="300"/>
    <n v="1200"/>
  </r>
  <r>
    <n v="664"/>
    <d v="2023-12-28T00:00:00"/>
    <s v="CUST664"/>
    <s v="Female"/>
    <n v="44"/>
    <x v="1"/>
    <x v="3"/>
    <n v="500"/>
    <n v="2000"/>
  </r>
  <r>
    <n v="665"/>
    <d v="2023-04-20T00:00:00"/>
    <s v="CUST665"/>
    <s v="Male"/>
    <n v="57"/>
    <x v="1"/>
    <x v="2"/>
    <n v="50"/>
    <n v="50"/>
  </r>
  <r>
    <n v="666"/>
    <d v="2023-02-02T00:00:00"/>
    <s v="CUST666"/>
    <s v="Male"/>
    <n v="51"/>
    <x v="2"/>
    <x v="0"/>
    <n v="50"/>
    <n v="150"/>
  </r>
  <r>
    <n v="667"/>
    <d v="2023-08-01T00:00:00"/>
    <s v="CUST667"/>
    <s v="Female"/>
    <n v="29"/>
    <x v="2"/>
    <x v="2"/>
    <n v="500"/>
    <n v="500"/>
  </r>
  <r>
    <n v="668"/>
    <d v="2023-07-28T00:00:00"/>
    <s v="CUST668"/>
    <s v="Female"/>
    <n v="62"/>
    <x v="2"/>
    <x v="0"/>
    <n v="50"/>
    <n v="150"/>
  </r>
  <r>
    <n v="669"/>
    <d v="2023-06-19T00:00:00"/>
    <s v="CUST669"/>
    <s v="Male"/>
    <n v="24"/>
    <x v="0"/>
    <x v="3"/>
    <n v="300"/>
    <n v="1200"/>
  </r>
  <r>
    <n v="670"/>
    <d v="2023-10-05T00:00:00"/>
    <s v="CUST670"/>
    <s v="Male"/>
    <n v="27"/>
    <x v="0"/>
    <x v="2"/>
    <n v="30"/>
    <n v="30"/>
  </r>
  <r>
    <n v="671"/>
    <d v="2023-08-27T00:00:00"/>
    <s v="CUST671"/>
    <s v="Male"/>
    <n v="62"/>
    <x v="2"/>
    <x v="0"/>
    <n v="50"/>
    <n v="150"/>
  </r>
  <r>
    <n v="672"/>
    <d v="2023-08-01T00:00:00"/>
    <s v="CUST672"/>
    <s v="Female"/>
    <n v="34"/>
    <x v="0"/>
    <x v="1"/>
    <n v="50"/>
    <n v="100"/>
  </r>
  <r>
    <n v="673"/>
    <d v="2023-02-01T00:00:00"/>
    <s v="CUST673"/>
    <s v="Female"/>
    <n v="43"/>
    <x v="1"/>
    <x v="0"/>
    <n v="500"/>
    <n v="1500"/>
  </r>
  <r>
    <n v="674"/>
    <d v="2023-04-16T00:00:00"/>
    <s v="CUST674"/>
    <s v="Female"/>
    <n v="38"/>
    <x v="1"/>
    <x v="2"/>
    <n v="300"/>
    <n v="300"/>
  </r>
  <r>
    <n v="675"/>
    <d v="2023-08-04T00:00:00"/>
    <s v="CUST675"/>
    <s v="Female"/>
    <n v="45"/>
    <x v="1"/>
    <x v="1"/>
    <n v="30"/>
    <n v="60"/>
  </r>
  <r>
    <n v="676"/>
    <d v="2023-07-19T00:00:00"/>
    <s v="CUST676"/>
    <s v="Male"/>
    <n v="63"/>
    <x v="2"/>
    <x v="0"/>
    <n v="500"/>
    <n v="1500"/>
  </r>
  <r>
    <n v="677"/>
    <d v="2023-10-27T00:00:00"/>
    <s v="CUST677"/>
    <s v="Female"/>
    <n v="19"/>
    <x v="0"/>
    <x v="0"/>
    <n v="500"/>
    <n v="1500"/>
  </r>
  <r>
    <n v="678"/>
    <d v="2023-12-23T00:00:00"/>
    <s v="CUST678"/>
    <s v="Female"/>
    <n v="60"/>
    <x v="2"/>
    <x v="0"/>
    <n v="300"/>
    <n v="900"/>
  </r>
  <r>
    <n v="679"/>
    <d v="2023-01-11T00:00:00"/>
    <s v="CUST679"/>
    <s v="Female"/>
    <n v="18"/>
    <x v="0"/>
    <x v="0"/>
    <n v="30"/>
    <n v="90"/>
  </r>
  <r>
    <n v="680"/>
    <d v="2023-10-22T00:00:00"/>
    <s v="CUST680"/>
    <s v="Female"/>
    <n v="53"/>
    <x v="1"/>
    <x v="0"/>
    <n v="300"/>
    <n v="900"/>
  </r>
  <r>
    <n v="681"/>
    <d v="2023-07-14T00:00:00"/>
    <s v="CUST681"/>
    <s v="Female"/>
    <n v="43"/>
    <x v="2"/>
    <x v="1"/>
    <n v="30"/>
    <n v="60"/>
  </r>
  <r>
    <n v="682"/>
    <d v="2023-09-02T00:00:00"/>
    <s v="CUST682"/>
    <s v="Male"/>
    <n v="46"/>
    <x v="0"/>
    <x v="3"/>
    <n v="300"/>
    <n v="1200"/>
  </r>
  <r>
    <n v="683"/>
    <d v="2023-01-04T00:00:00"/>
    <s v="CUST683"/>
    <s v="Male"/>
    <n v="38"/>
    <x v="0"/>
    <x v="1"/>
    <n v="500"/>
    <n v="1000"/>
  </r>
  <r>
    <n v="684"/>
    <d v="2023-06-30T00:00:00"/>
    <s v="CUST684"/>
    <s v="Female"/>
    <n v="28"/>
    <x v="1"/>
    <x v="1"/>
    <n v="500"/>
    <n v="1000"/>
  </r>
  <r>
    <n v="685"/>
    <d v="2023-06-02T00:00:00"/>
    <s v="CUST685"/>
    <s v="Male"/>
    <n v="57"/>
    <x v="2"/>
    <x v="1"/>
    <n v="25"/>
    <n v="50"/>
  </r>
  <r>
    <n v="686"/>
    <d v="2023-07-19T00:00:00"/>
    <s v="CUST686"/>
    <s v="Female"/>
    <n v="28"/>
    <x v="2"/>
    <x v="3"/>
    <n v="50"/>
    <n v="200"/>
  </r>
  <r>
    <n v="687"/>
    <d v="2023-08-03T00:00:00"/>
    <s v="CUST687"/>
    <s v="Female"/>
    <n v="53"/>
    <x v="2"/>
    <x v="2"/>
    <n v="300"/>
    <n v="300"/>
  </r>
  <r>
    <n v="688"/>
    <d v="2023-10-03T00:00:00"/>
    <s v="CUST688"/>
    <s v="Male"/>
    <n v="56"/>
    <x v="1"/>
    <x v="3"/>
    <n v="25"/>
    <n v="100"/>
  </r>
  <r>
    <n v="689"/>
    <d v="2023-10-07T00:00:00"/>
    <s v="CUST689"/>
    <s v="Male"/>
    <n v="57"/>
    <x v="2"/>
    <x v="1"/>
    <n v="50"/>
    <n v="100"/>
  </r>
  <r>
    <n v="690"/>
    <d v="2023-11-05T00:00:00"/>
    <s v="CUST690"/>
    <s v="Female"/>
    <n v="52"/>
    <x v="1"/>
    <x v="0"/>
    <n v="300"/>
    <n v="900"/>
  </r>
  <r>
    <n v="691"/>
    <d v="2023-04-23T00:00:00"/>
    <s v="CUST691"/>
    <s v="Female"/>
    <n v="51"/>
    <x v="1"/>
    <x v="0"/>
    <n v="30"/>
    <n v="90"/>
  </r>
  <r>
    <n v="692"/>
    <d v="2023-09-07T00:00:00"/>
    <s v="CUST692"/>
    <s v="Female"/>
    <n v="64"/>
    <x v="1"/>
    <x v="1"/>
    <n v="50"/>
    <n v="100"/>
  </r>
  <r>
    <n v="693"/>
    <d v="2023-04-23T00:00:00"/>
    <s v="CUST693"/>
    <s v="Male"/>
    <n v="41"/>
    <x v="0"/>
    <x v="0"/>
    <n v="500"/>
    <n v="1500"/>
  </r>
  <r>
    <n v="694"/>
    <d v="2023-05-20T00:00:00"/>
    <s v="CUST694"/>
    <s v="Female"/>
    <n v="39"/>
    <x v="2"/>
    <x v="1"/>
    <n v="25"/>
    <n v="50"/>
  </r>
  <r>
    <n v="695"/>
    <d v="2023-08-12T00:00:00"/>
    <s v="CUST695"/>
    <s v="Female"/>
    <n v="22"/>
    <x v="2"/>
    <x v="0"/>
    <n v="50"/>
    <n v="150"/>
  </r>
  <r>
    <n v="696"/>
    <d v="2023-09-06T00:00:00"/>
    <s v="CUST696"/>
    <s v="Female"/>
    <n v="50"/>
    <x v="1"/>
    <x v="3"/>
    <n v="50"/>
    <n v="200"/>
  </r>
  <r>
    <n v="697"/>
    <d v="2023-01-15T00:00:00"/>
    <s v="CUST697"/>
    <s v="Male"/>
    <n v="53"/>
    <x v="1"/>
    <x v="2"/>
    <n v="500"/>
    <n v="500"/>
  </r>
  <r>
    <n v="698"/>
    <d v="2023-07-19T00:00:00"/>
    <s v="CUST698"/>
    <s v="Female"/>
    <n v="64"/>
    <x v="2"/>
    <x v="2"/>
    <n v="300"/>
    <n v="300"/>
  </r>
  <r>
    <n v="699"/>
    <d v="2023-06-22T00:00:00"/>
    <s v="CUST699"/>
    <s v="Female"/>
    <n v="37"/>
    <x v="1"/>
    <x v="3"/>
    <n v="30"/>
    <n v="120"/>
  </r>
  <r>
    <n v="700"/>
    <d v="2023-12-09T00:00:00"/>
    <s v="CUST700"/>
    <s v="Male"/>
    <n v="36"/>
    <x v="2"/>
    <x v="3"/>
    <n v="500"/>
    <n v="2000"/>
  </r>
  <r>
    <n v="701"/>
    <d v="2023-12-14T00:00:00"/>
    <s v="CUST701"/>
    <s v="Female"/>
    <n v="52"/>
    <x v="0"/>
    <x v="1"/>
    <n v="30"/>
    <n v="60"/>
  </r>
  <r>
    <n v="702"/>
    <d v="2023-07-27T00:00:00"/>
    <s v="CUST702"/>
    <s v="Female"/>
    <n v="60"/>
    <x v="1"/>
    <x v="1"/>
    <n v="300"/>
    <n v="600"/>
  </r>
  <r>
    <n v="703"/>
    <d v="2023-03-26T00:00:00"/>
    <s v="CUST703"/>
    <s v="Male"/>
    <n v="34"/>
    <x v="2"/>
    <x v="1"/>
    <n v="50"/>
    <n v="100"/>
  </r>
  <r>
    <n v="704"/>
    <d v="2023-08-28T00:00:00"/>
    <s v="CUST704"/>
    <s v="Female"/>
    <n v="62"/>
    <x v="1"/>
    <x v="0"/>
    <n v="30"/>
    <n v="90"/>
  </r>
  <r>
    <n v="705"/>
    <d v="2023-03-07T00:00:00"/>
    <s v="CUST705"/>
    <s v="Male"/>
    <n v="60"/>
    <x v="2"/>
    <x v="1"/>
    <n v="25"/>
    <n v="50"/>
  </r>
  <r>
    <n v="706"/>
    <d v="2023-11-15T00:00:00"/>
    <s v="CUST706"/>
    <s v="Male"/>
    <n v="51"/>
    <x v="2"/>
    <x v="3"/>
    <n v="25"/>
    <n v="100"/>
  </r>
  <r>
    <n v="707"/>
    <d v="2023-10-01T00:00:00"/>
    <s v="CUST707"/>
    <s v="Female"/>
    <n v="26"/>
    <x v="1"/>
    <x v="2"/>
    <n v="500"/>
    <n v="500"/>
  </r>
  <r>
    <n v="708"/>
    <d v="2023-01-14T00:00:00"/>
    <s v="CUST708"/>
    <s v="Female"/>
    <n v="43"/>
    <x v="0"/>
    <x v="0"/>
    <n v="300"/>
    <n v="900"/>
  </r>
  <r>
    <n v="709"/>
    <d v="2023-07-21T00:00:00"/>
    <s v="CUST709"/>
    <s v="Female"/>
    <n v="19"/>
    <x v="2"/>
    <x v="1"/>
    <n v="500"/>
    <n v="1000"/>
  </r>
  <r>
    <n v="710"/>
    <d v="2023-10-31T00:00:00"/>
    <s v="CUST710"/>
    <s v="Female"/>
    <n v="26"/>
    <x v="2"/>
    <x v="0"/>
    <n v="500"/>
    <n v="1500"/>
  </r>
  <r>
    <n v="711"/>
    <d v="2023-10-16T00:00:00"/>
    <s v="CUST711"/>
    <s v="Male"/>
    <n v="26"/>
    <x v="2"/>
    <x v="0"/>
    <n v="500"/>
    <n v="1500"/>
  </r>
  <r>
    <n v="712"/>
    <d v="2023-12-06T00:00:00"/>
    <s v="CUST712"/>
    <s v="Female"/>
    <n v="57"/>
    <x v="0"/>
    <x v="1"/>
    <n v="25"/>
    <n v="50"/>
  </r>
  <r>
    <n v="713"/>
    <d v="2023-01-14T00:00:00"/>
    <s v="CUST713"/>
    <s v="Male"/>
    <n v="34"/>
    <x v="0"/>
    <x v="0"/>
    <n v="25"/>
    <n v="75"/>
  </r>
  <r>
    <n v="714"/>
    <d v="2023-02-12T00:00:00"/>
    <s v="CUST714"/>
    <s v="Female"/>
    <n v="18"/>
    <x v="1"/>
    <x v="2"/>
    <n v="500"/>
    <n v="500"/>
  </r>
  <r>
    <n v="715"/>
    <d v="2023-11-26T00:00:00"/>
    <s v="CUST715"/>
    <s v="Female"/>
    <n v="42"/>
    <x v="0"/>
    <x v="3"/>
    <n v="25"/>
    <n v="100"/>
  </r>
  <r>
    <n v="716"/>
    <d v="2023-08-08T00:00:00"/>
    <s v="CUST716"/>
    <s v="Female"/>
    <n v="60"/>
    <x v="1"/>
    <x v="3"/>
    <n v="300"/>
    <n v="1200"/>
  </r>
  <r>
    <n v="717"/>
    <d v="2023-03-11T00:00:00"/>
    <s v="CUST717"/>
    <s v="Male"/>
    <n v="57"/>
    <x v="1"/>
    <x v="2"/>
    <n v="500"/>
    <n v="500"/>
  </r>
  <r>
    <n v="718"/>
    <d v="2023-08-25T00:00:00"/>
    <s v="CUST718"/>
    <s v="Female"/>
    <n v="59"/>
    <x v="0"/>
    <x v="0"/>
    <n v="25"/>
    <n v="75"/>
  </r>
  <r>
    <n v="719"/>
    <d v="2023-04-04T00:00:00"/>
    <s v="CUST719"/>
    <s v="Female"/>
    <n v="42"/>
    <x v="1"/>
    <x v="1"/>
    <n v="30"/>
    <n v="60"/>
  </r>
  <r>
    <n v="720"/>
    <d v="2023-01-26T00:00:00"/>
    <s v="CUST720"/>
    <s v="Female"/>
    <n v="56"/>
    <x v="0"/>
    <x v="0"/>
    <n v="500"/>
    <n v="1500"/>
  </r>
  <r>
    <n v="721"/>
    <d v="2023-05-14T00:00:00"/>
    <s v="CUST721"/>
    <s v="Female"/>
    <n v="52"/>
    <x v="1"/>
    <x v="2"/>
    <n v="500"/>
    <n v="500"/>
  </r>
  <r>
    <n v="722"/>
    <d v="2023-07-14T00:00:00"/>
    <s v="CUST722"/>
    <s v="Male"/>
    <n v="20"/>
    <x v="0"/>
    <x v="0"/>
    <n v="300"/>
    <n v="900"/>
  </r>
  <r>
    <n v="723"/>
    <d v="2023-06-17T00:00:00"/>
    <s v="CUST723"/>
    <s v="Female"/>
    <n v="54"/>
    <x v="0"/>
    <x v="3"/>
    <n v="50"/>
    <n v="200"/>
  </r>
  <r>
    <n v="724"/>
    <d v="2023-04-19T00:00:00"/>
    <s v="CUST724"/>
    <s v="Male"/>
    <n v="61"/>
    <x v="1"/>
    <x v="0"/>
    <n v="50"/>
    <n v="150"/>
  </r>
  <r>
    <n v="725"/>
    <d v="2023-08-21T00:00:00"/>
    <s v="CUST725"/>
    <s v="Male"/>
    <n v="61"/>
    <x v="2"/>
    <x v="2"/>
    <n v="300"/>
    <n v="300"/>
  </r>
  <r>
    <n v="726"/>
    <d v="2023-06-17T00:00:00"/>
    <s v="CUST726"/>
    <s v="Male"/>
    <n v="47"/>
    <x v="1"/>
    <x v="3"/>
    <n v="300"/>
    <n v="1200"/>
  </r>
  <r>
    <n v="727"/>
    <d v="2023-06-22T00:00:00"/>
    <s v="CUST727"/>
    <s v="Male"/>
    <n v="55"/>
    <x v="0"/>
    <x v="0"/>
    <n v="300"/>
    <n v="900"/>
  </r>
  <r>
    <n v="728"/>
    <d v="2023-07-14T00:00:00"/>
    <s v="CUST728"/>
    <s v="Male"/>
    <n v="51"/>
    <x v="2"/>
    <x v="0"/>
    <n v="50"/>
    <n v="150"/>
  </r>
  <r>
    <n v="729"/>
    <d v="2023-05-23T00:00:00"/>
    <s v="CUST729"/>
    <s v="Male"/>
    <n v="29"/>
    <x v="1"/>
    <x v="3"/>
    <n v="300"/>
    <n v="1200"/>
  </r>
  <r>
    <n v="730"/>
    <d v="2023-08-04T00:00:00"/>
    <s v="CUST730"/>
    <s v="Female"/>
    <n v="36"/>
    <x v="1"/>
    <x v="1"/>
    <n v="25"/>
    <n v="50"/>
  </r>
  <r>
    <n v="731"/>
    <d v="2023-05-10T00:00:00"/>
    <s v="CUST731"/>
    <s v="Male"/>
    <n v="54"/>
    <x v="1"/>
    <x v="3"/>
    <n v="500"/>
    <n v="2000"/>
  </r>
  <r>
    <n v="732"/>
    <d v="2023-02-11T00:00:00"/>
    <s v="CUST732"/>
    <s v="Male"/>
    <n v="61"/>
    <x v="2"/>
    <x v="1"/>
    <n v="500"/>
    <n v="1000"/>
  </r>
  <r>
    <n v="733"/>
    <d v="2023-08-29T00:00:00"/>
    <s v="CUST733"/>
    <s v="Male"/>
    <n v="34"/>
    <x v="0"/>
    <x v="2"/>
    <n v="30"/>
    <n v="30"/>
  </r>
  <r>
    <n v="734"/>
    <d v="2023-01-10T00:00:00"/>
    <s v="CUST734"/>
    <s v="Female"/>
    <n v="27"/>
    <x v="1"/>
    <x v="2"/>
    <n v="30"/>
    <n v="30"/>
  </r>
  <r>
    <n v="735"/>
    <d v="2023-10-04T00:00:00"/>
    <s v="CUST735"/>
    <s v="Female"/>
    <n v="64"/>
    <x v="1"/>
    <x v="3"/>
    <n v="500"/>
    <n v="2000"/>
  </r>
  <r>
    <n v="736"/>
    <d v="2023-01-27T00:00:00"/>
    <s v="CUST736"/>
    <s v="Male"/>
    <n v="29"/>
    <x v="1"/>
    <x v="3"/>
    <n v="25"/>
    <n v="100"/>
  </r>
  <r>
    <n v="737"/>
    <d v="2023-06-29T00:00:00"/>
    <s v="CUST737"/>
    <s v="Female"/>
    <n v="33"/>
    <x v="1"/>
    <x v="2"/>
    <n v="50"/>
    <n v="50"/>
  </r>
  <r>
    <n v="738"/>
    <d v="2023-04-25T00:00:00"/>
    <s v="CUST738"/>
    <s v="Male"/>
    <n v="41"/>
    <x v="1"/>
    <x v="1"/>
    <n v="50"/>
    <n v="100"/>
  </r>
  <r>
    <n v="739"/>
    <d v="2023-11-29T00:00:00"/>
    <s v="CUST739"/>
    <s v="Male"/>
    <n v="36"/>
    <x v="0"/>
    <x v="2"/>
    <n v="25"/>
    <n v="25"/>
  </r>
  <r>
    <n v="740"/>
    <d v="2023-02-05T00:00:00"/>
    <s v="CUST740"/>
    <s v="Female"/>
    <n v="25"/>
    <x v="0"/>
    <x v="3"/>
    <n v="50"/>
    <n v="200"/>
  </r>
  <r>
    <n v="741"/>
    <d v="2023-11-30T00:00:00"/>
    <s v="CUST741"/>
    <s v="Male"/>
    <n v="48"/>
    <x v="1"/>
    <x v="2"/>
    <n v="300"/>
    <n v="300"/>
  </r>
  <r>
    <n v="742"/>
    <d v="2023-01-21T00:00:00"/>
    <s v="CUST742"/>
    <s v="Female"/>
    <n v="38"/>
    <x v="2"/>
    <x v="3"/>
    <n v="500"/>
    <n v="2000"/>
  </r>
  <r>
    <n v="743"/>
    <d v="2023-01-16T00:00:00"/>
    <s v="CUST743"/>
    <s v="Female"/>
    <n v="34"/>
    <x v="0"/>
    <x v="3"/>
    <n v="500"/>
    <n v="2000"/>
  </r>
  <r>
    <n v="744"/>
    <d v="2023-05-07T00:00:00"/>
    <s v="CUST744"/>
    <s v="Male"/>
    <n v="40"/>
    <x v="2"/>
    <x v="2"/>
    <n v="25"/>
    <n v="25"/>
  </r>
  <r>
    <n v="745"/>
    <d v="2023-04-13T00:00:00"/>
    <s v="CUST745"/>
    <s v="Male"/>
    <n v="54"/>
    <x v="0"/>
    <x v="1"/>
    <n v="50"/>
    <n v="100"/>
  </r>
  <r>
    <n v="746"/>
    <d v="2023-01-11T00:00:00"/>
    <s v="CUST746"/>
    <s v="Female"/>
    <n v="33"/>
    <x v="1"/>
    <x v="0"/>
    <n v="30"/>
    <n v="90"/>
  </r>
  <r>
    <n v="747"/>
    <d v="2023-11-15T00:00:00"/>
    <s v="CUST747"/>
    <s v="Male"/>
    <n v="23"/>
    <x v="0"/>
    <x v="2"/>
    <n v="30"/>
    <n v="30"/>
  </r>
  <r>
    <n v="748"/>
    <d v="2023-03-20T00:00:00"/>
    <s v="CUST748"/>
    <s v="Male"/>
    <n v="25"/>
    <x v="1"/>
    <x v="0"/>
    <n v="50"/>
    <n v="150"/>
  </r>
  <r>
    <n v="749"/>
    <d v="2023-05-03T00:00:00"/>
    <s v="CUST749"/>
    <s v="Male"/>
    <n v="42"/>
    <x v="0"/>
    <x v="2"/>
    <n v="30"/>
    <n v="30"/>
  </r>
  <r>
    <n v="750"/>
    <d v="2023-03-06T00:00:00"/>
    <s v="CUST750"/>
    <s v="Female"/>
    <n v="35"/>
    <x v="1"/>
    <x v="0"/>
    <n v="25"/>
    <n v="75"/>
  </r>
  <r>
    <n v="751"/>
    <d v="2023-08-31T00:00:00"/>
    <s v="CUST751"/>
    <s v="Female"/>
    <n v="42"/>
    <x v="1"/>
    <x v="1"/>
    <n v="25"/>
    <n v="50"/>
  </r>
  <r>
    <n v="752"/>
    <d v="2023-12-09T00:00:00"/>
    <s v="CUST752"/>
    <s v="Male"/>
    <n v="29"/>
    <x v="1"/>
    <x v="1"/>
    <n v="50"/>
    <n v="100"/>
  </r>
  <r>
    <n v="753"/>
    <d v="2023-02-28T00:00:00"/>
    <s v="CUST753"/>
    <s v="Female"/>
    <n v="32"/>
    <x v="1"/>
    <x v="2"/>
    <n v="30"/>
    <n v="30"/>
  </r>
  <r>
    <n v="754"/>
    <d v="2023-10-16T00:00:00"/>
    <s v="CUST754"/>
    <s v="Female"/>
    <n v="43"/>
    <x v="2"/>
    <x v="3"/>
    <n v="25"/>
    <n v="100"/>
  </r>
  <r>
    <n v="755"/>
    <d v="2023-04-22T00:00:00"/>
    <s v="CUST755"/>
    <s v="Female"/>
    <n v="58"/>
    <x v="1"/>
    <x v="0"/>
    <n v="25"/>
    <n v="75"/>
  </r>
  <r>
    <n v="756"/>
    <d v="2023-08-27T00:00:00"/>
    <s v="CUST756"/>
    <s v="Female"/>
    <n v="62"/>
    <x v="2"/>
    <x v="3"/>
    <n v="300"/>
    <n v="1200"/>
  </r>
  <r>
    <n v="757"/>
    <d v="2023-12-25T00:00:00"/>
    <s v="CUST757"/>
    <s v="Female"/>
    <n v="43"/>
    <x v="2"/>
    <x v="3"/>
    <n v="300"/>
    <n v="1200"/>
  </r>
  <r>
    <n v="758"/>
    <d v="2023-05-12T00:00:00"/>
    <s v="CUST758"/>
    <s v="Male"/>
    <n v="64"/>
    <x v="1"/>
    <x v="3"/>
    <n v="25"/>
    <n v="100"/>
  </r>
  <r>
    <n v="759"/>
    <d v="2023-07-08T00:00:00"/>
    <s v="CUST759"/>
    <s v="Male"/>
    <n v="49"/>
    <x v="2"/>
    <x v="1"/>
    <n v="50"/>
    <n v="100"/>
  </r>
  <r>
    <n v="760"/>
    <d v="2023-03-27T00:00:00"/>
    <s v="CUST760"/>
    <s v="Male"/>
    <n v="27"/>
    <x v="0"/>
    <x v="2"/>
    <n v="500"/>
    <n v="500"/>
  </r>
  <r>
    <n v="761"/>
    <d v="2023-11-07T00:00:00"/>
    <s v="CUST761"/>
    <s v="Female"/>
    <n v="33"/>
    <x v="1"/>
    <x v="2"/>
    <n v="500"/>
    <n v="500"/>
  </r>
  <r>
    <n v="762"/>
    <d v="2023-11-07T00:00:00"/>
    <s v="CUST762"/>
    <s v="Female"/>
    <n v="24"/>
    <x v="2"/>
    <x v="1"/>
    <n v="25"/>
    <n v="50"/>
  </r>
  <r>
    <n v="763"/>
    <d v="2023-02-28T00:00:00"/>
    <s v="CUST763"/>
    <s v="Male"/>
    <n v="34"/>
    <x v="1"/>
    <x v="1"/>
    <n v="25"/>
    <n v="50"/>
  </r>
  <r>
    <n v="764"/>
    <d v="2023-03-25T00:00:00"/>
    <s v="CUST764"/>
    <s v="Female"/>
    <n v="40"/>
    <x v="1"/>
    <x v="2"/>
    <n v="25"/>
    <n v="25"/>
  </r>
  <r>
    <n v="765"/>
    <d v="2023-06-09T00:00:00"/>
    <s v="CUST765"/>
    <s v="Male"/>
    <n v="43"/>
    <x v="1"/>
    <x v="3"/>
    <n v="50"/>
    <n v="200"/>
  </r>
  <r>
    <n v="766"/>
    <d v="2023-02-25T00:00:00"/>
    <s v="CUST766"/>
    <s v="Male"/>
    <n v="38"/>
    <x v="2"/>
    <x v="0"/>
    <n v="300"/>
    <n v="900"/>
  </r>
  <r>
    <n v="767"/>
    <d v="2023-10-24T00:00:00"/>
    <s v="CUST767"/>
    <s v="Male"/>
    <n v="39"/>
    <x v="0"/>
    <x v="0"/>
    <n v="25"/>
    <n v="75"/>
  </r>
  <r>
    <n v="768"/>
    <d v="2023-01-14T00:00:00"/>
    <s v="CUST768"/>
    <s v="Female"/>
    <n v="24"/>
    <x v="0"/>
    <x v="0"/>
    <n v="25"/>
    <n v="75"/>
  </r>
  <r>
    <n v="769"/>
    <d v="2023-06-09T00:00:00"/>
    <s v="CUST769"/>
    <s v="Female"/>
    <n v="31"/>
    <x v="2"/>
    <x v="3"/>
    <n v="30"/>
    <n v="120"/>
  </r>
  <r>
    <n v="770"/>
    <d v="2023-10-22T00:00:00"/>
    <s v="CUST770"/>
    <s v="Male"/>
    <n v="32"/>
    <x v="1"/>
    <x v="2"/>
    <n v="50"/>
    <n v="50"/>
  </r>
  <r>
    <n v="771"/>
    <d v="2023-12-13T00:00:00"/>
    <s v="CUST771"/>
    <s v="Male"/>
    <n v="24"/>
    <x v="2"/>
    <x v="1"/>
    <n v="25"/>
    <n v="50"/>
  </r>
  <r>
    <n v="772"/>
    <d v="2023-07-12T00:00:00"/>
    <s v="CUST772"/>
    <s v="Male"/>
    <n v="26"/>
    <x v="2"/>
    <x v="2"/>
    <n v="30"/>
    <n v="30"/>
  </r>
  <r>
    <n v="773"/>
    <d v="2023-07-23T00:00:00"/>
    <s v="CUST773"/>
    <s v="Male"/>
    <n v="25"/>
    <x v="2"/>
    <x v="3"/>
    <n v="500"/>
    <n v="2000"/>
  </r>
  <r>
    <n v="774"/>
    <d v="2023-04-12T00:00:00"/>
    <s v="CUST774"/>
    <s v="Female"/>
    <n v="40"/>
    <x v="1"/>
    <x v="1"/>
    <n v="25"/>
    <n v="50"/>
  </r>
  <r>
    <n v="775"/>
    <d v="2023-02-08T00:00:00"/>
    <s v="CUST775"/>
    <s v="Female"/>
    <n v="46"/>
    <x v="2"/>
    <x v="3"/>
    <n v="25"/>
    <n v="100"/>
  </r>
  <r>
    <n v="776"/>
    <d v="2023-10-31T00:00:00"/>
    <s v="CUST776"/>
    <s v="Male"/>
    <n v="35"/>
    <x v="1"/>
    <x v="0"/>
    <n v="30"/>
    <n v="90"/>
  </r>
  <r>
    <n v="777"/>
    <d v="2023-12-20T00:00:00"/>
    <s v="CUST777"/>
    <s v="Male"/>
    <n v="48"/>
    <x v="2"/>
    <x v="0"/>
    <n v="50"/>
    <n v="150"/>
  </r>
  <r>
    <n v="778"/>
    <d v="2023-11-18T00:00:00"/>
    <s v="CUST778"/>
    <s v="Female"/>
    <n v="47"/>
    <x v="0"/>
    <x v="3"/>
    <n v="25"/>
    <n v="100"/>
  </r>
  <r>
    <n v="779"/>
    <d v="2023-05-05T00:00:00"/>
    <s v="CUST779"/>
    <s v="Female"/>
    <n v="56"/>
    <x v="2"/>
    <x v="1"/>
    <n v="500"/>
    <n v="1000"/>
  </r>
  <r>
    <n v="780"/>
    <d v="2023-02-22T00:00:00"/>
    <s v="CUST780"/>
    <s v="Male"/>
    <n v="52"/>
    <x v="2"/>
    <x v="1"/>
    <n v="25"/>
    <n v="50"/>
  </r>
  <r>
    <n v="781"/>
    <d v="2023-12-23T00:00:00"/>
    <s v="CUST781"/>
    <s v="Male"/>
    <n v="35"/>
    <x v="0"/>
    <x v="2"/>
    <n v="500"/>
    <n v="500"/>
  </r>
  <r>
    <n v="782"/>
    <d v="2023-06-04T00:00:00"/>
    <s v="CUST782"/>
    <s v="Male"/>
    <n v="59"/>
    <x v="1"/>
    <x v="0"/>
    <n v="300"/>
    <n v="900"/>
  </r>
  <r>
    <n v="783"/>
    <d v="2023-12-17T00:00:00"/>
    <s v="CUST783"/>
    <s v="Female"/>
    <n v="56"/>
    <x v="1"/>
    <x v="2"/>
    <n v="300"/>
    <n v="300"/>
  </r>
  <r>
    <n v="784"/>
    <d v="2023-11-04T00:00:00"/>
    <s v="CUST784"/>
    <s v="Female"/>
    <n v="34"/>
    <x v="2"/>
    <x v="2"/>
    <n v="500"/>
    <n v="500"/>
  </r>
  <r>
    <n v="785"/>
    <d v="2023-03-03T00:00:00"/>
    <s v="CUST785"/>
    <s v="Female"/>
    <n v="31"/>
    <x v="0"/>
    <x v="3"/>
    <n v="50"/>
    <n v="200"/>
  </r>
  <r>
    <n v="786"/>
    <d v="2023-10-17T00:00:00"/>
    <s v="CUST786"/>
    <s v="Male"/>
    <n v="48"/>
    <x v="1"/>
    <x v="3"/>
    <n v="25"/>
    <n v="100"/>
  </r>
  <r>
    <n v="787"/>
    <d v="2023-01-22T00:00:00"/>
    <s v="CUST787"/>
    <s v="Male"/>
    <n v="41"/>
    <x v="2"/>
    <x v="2"/>
    <n v="25"/>
    <n v="25"/>
  </r>
  <r>
    <n v="788"/>
    <d v="2023-06-27T00:00:00"/>
    <s v="CUST788"/>
    <s v="Female"/>
    <n v="52"/>
    <x v="0"/>
    <x v="0"/>
    <n v="300"/>
    <n v="900"/>
  </r>
  <r>
    <n v="789"/>
    <d v="2023-09-30T00:00:00"/>
    <s v="CUST789"/>
    <s v="Female"/>
    <n v="61"/>
    <x v="1"/>
    <x v="3"/>
    <n v="500"/>
    <n v="2000"/>
  </r>
  <r>
    <n v="790"/>
    <d v="2023-08-08T00:00:00"/>
    <s v="CUST790"/>
    <s v="Male"/>
    <n v="62"/>
    <x v="1"/>
    <x v="2"/>
    <n v="25"/>
    <n v="25"/>
  </r>
  <r>
    <n v="791"/>
    <d v="2023-12-05T00:00:00"/>
    <s v="CUST791"/>
    <s v="Female"/>
    <n v="51"/>
    <x v="0"/>
    <x v="2"/>
    <n v="25"/>
    <n v="25"/>
  </r>
  <r>
    <n v="792"/>
    <d v="2023-07-09T00:00:00"/>
    <s v="CUST792"/>
    <s v="Female"/>
    <n v="20"/>
    <x v="0"/>
    <x v="2"/>
    <n v="50"/>
    <n v="50"/>
  </r>
  <r>
    <n v="793"/>
    <d v="2023-02-05T00:00:00"/>
    <s v="CUST793"/>
    <s v="Male"/>
    <n v="54"/>
    <x v="0"/>
    <x v="2"/>
    <n v="30"/>
    <n v="30"/>
  </r>
  <r>
    <n v="794"/>
    <d v="2023-09-17T00:00:00"/>
    <s v="CUST794"/>
    <s v="Female"/>
    <n v="60"/>
    <x v="0"/>
    <x v="2"/>
    <n v="300"/>
    <n v="300"/>
  </r>
  <r>
    <n v="795"/>
    <d v="2023-11-28T00:00:00"/>
    <s v="CUST795"/>
    <s v="Male"/>
    <n v="57"/>
    <x v="2"/>
    <x v="2"/>
    <n v="300"/>
    <n v="300"/>
  </r>
  <r>
    <n v="796"/>
    <d v="2023-06-24T00:00:00"/>
    <s v="CUST796"/>
    <s v="Male"/>
    <n v="43"/>
    <x v="0"/>
    <x v="3"/>
    <n v="30"/>
    <n v="120"/>
  </r>
  <r>
    <n v="797"/>
    <d v="2023-01-07T00:00:00"/>
    <s v="CUST797"/>
    <s v="Male"/>
    <n v="40"/>
    <x v="1"/>
    <x v="0"/>
    <n v="25"/>
    <n v="75"/>
  </r>
  <r>
    <n v="798"/>
    <d v="2023-08-04T00:00:00"/>
    <s v="CUST798"/>
    <s v="Male"/>
    <n v="61"/>
    <x v="1"/>
    <x v="2"/>
    <n v="50"/>
    <n v="50"/>
  </r>
  <r>
    <n v="799"/>
    <d v="2023-09-08T00:00:00"/>
    <s v="CUST799"/>
    <s v="Male"/>
    <n v="56"/>
    <x v="2"/>
    <x v="1"/>
    <n v="50"/>
    <n v="100"/>
  </r>
  <r>
    <n v="800"/>
    <d v="2023-02-24T00:00:00"/>
    <s v="CUST800"/>
    <s v="Male"/>
    <n v="32"/>
    <x v="1"/>
    <x v="3"/>
    <n v="300"/>
    <n v="1200"/>
  </r>
  <r>
    <n v="801"/>
    <d v="2023-08-10T00:00:00"/>
    <s v="CUST801"/>
    <s v="Male"/>
    <n v="21"/>
    <x v="1"/>
    <x v="3"/>
    <n v="50"/>
    <n v="200"/>
  </r>
  <r>
    <n v="802"/>
    <d v="2023-07-05T00:00:00"/>
    <s v="CUST802"/>
    <s v="Female"/>
    <n v="46"/>
    <x v="0"/>
    <x v="2"/>
    <n v="30"/>
    <n v="30"/>
  </r>
  <r>
    <n v="803"/>
    <d v="2023-11-22T00:00:00"/>
    <s v="CUST803"/>
    <s v="Male"/>
    <n v="39"/>
    <x v="1"/>
    <x v="3"/>
    <n v="25"/>
    <n v="100"/>
  </r>
  <r>
    <n v="804"/>
    <d v="2023-08-24T00:00:00"/>
    <s v="CUST804"/>
    <s v="Male"/>
    <n v="42"/>
    <x v="2"/>
    <x v="2"/>
    <n v="30"/>
    <n v="30"/>
  </r>
  <r>
    <n v="805"/>
    <d v="2023-12-29T00:00:00"/>
    <s v="CUST805"/>
    <s v="Female"/>
    <n v="30"/>
    <x v="0"/>
    <x v="0"/>
    <n v="500"/>
    <n v="1500"/>
  </r>
  <r>
    <n v="806"/>
    <d v="2023-03-20T00:00:00"/>
    <s v="CUST806"/>
    <s v="Female"/>
    <n v="35"/>
    <x v="0"/>
    <x v="0"/>
    <n v="300"/>
    <n v="900"/>
  </r>
  <r>
    <n v="807"/>
    <d v="2023-08-11T00:00:00"/>
    <s v="CUST807"/>
    <s v="Female"/>
    <n v="50"/>
    <x v="2"/>
    <x v="3"/>
    <n v="50"/>
    <n v="200"/>
  </r>
  <r>
    <n v="808"/>
    <d v="2023-04-01T00:00:00"/>
    <s v="CUST808"/>
    <s v="Male"/>
    <n v="33"/>
    <x v="0"/>
    <x v="3"/>
    <n v="500"/>
    <n v="2000"/>
  </r>
  <r>
    <n v="809"/>
    <d v="2023-09-25T00:00:00"/>
    <s v="CUST809"/>
    <s v="Female"/>
    <n v="62"/>
    <x v="0"/>
    <x v="1"/>
    <n v="50"/>
    <n v="100"/>
  </r>
  <r>
    <n v="810"/>
    <d v="2023-11-30T00:00:00"/>
    <s v="CUST810"/>
    <s v="Male"/>
    <n v="59"/>
    <x v="2"/>
    <x v="3"/>
    <n v="25"/>
    <n v="100"/>
  </r>
  <r>
    <n v="811"/>
    <d v="2023-05-19T00:00:00"/>
    <s v="CUST811"/>
    <s v="Male"/>
    <n v="61"/>
    <x v="0"/>
    <x v="1"/>
    <n v="25"/>
    <n v="50"/>
  </r>
  <r>
    <n v="812"/>
    <d v="2023-11-12T00:00:00"/>
    <s v="CUST812"/>
    <s v="Male"/>
    <n v="19"/>
    <x v="2"/>
    <x v="0"/>
    <n v="25"/>
    <n v="75"/>
  </r>
  <r>
    <n v="813"/>
    <d v="2023-10-03T00:00:00"/>
    <s v="CUST813"/>
    <s v="Male"/>
    <n v="52"/>
    <x v="2"/>
    <x v="0"/>
    <n v="50"/>
    <n v="150"/>
  </r>
  <r>
    <n v="814"/>
    <d v="2023-09-05T00:00:00"/>
    <s v="CUST814"/>
    <s v="Female"/>
    <n v="59"/>
    <x v="1"/>
    <x v="2"/>
    <n v="500"/>
    <n v="500"/>
  </r>
  <r>
    <n v="815"/>
    <d v="2023-08-27T00:00:00"/>
    <s v="CUST815"/>
    <s v="Female"/>
    <n v="51"/>
    <x v="1"/>
    <x v="0"/>
    <n v="25"/>
    <n v="75"/>
  </r>
  <r>
    <n v="816"/>
    <d v="2023-08-12T00:00:00"/>
    <s v="CUST816"/>
    <s v="Male"/>
    <n v="47"/>
    <x v="0"/>
    <x v="1"/>
    <n v="500"/>
    <n v="1000"/>
  </r>
  <r>
    <n v="817"/>
    <d v="2023-10-31T00:00:00"/>
    <s v="CUST817"/>
    <s v="Male"/>
    <n v="30"/>
    <x v="0"/>
    <x v="3"/>
    <n v="50"/>
    <n v="200"/>
  </r>
  <r>
    <n v="818"/>
    <d v="2023-05-18T00:00:00"/>
    <s v="CUST818"/>
    <s v="Male"/>
    <n v="30"/>
    <x v="2"/>
    <x v="2"/>
    <n v="500"/>
    <n v="500"/>
  </r>
  <r>
    <n v="819"/>
    <d v="2023-06-15T00:00:00"/>
    <s v="CUST819"/>
    <s v="Female"/>
    <n v="35"/>
    <x v="0"/>
    <x v="1"/>
    <n v="50"/>
    <n v="100"/>
  </r>
  <r>
    <n v="820"/>
    <d v="2023-05-06T00:00:00"/>
    <s v="CUST820"/>
    <s v="Male"/>
    <n v="49"/>
    <x v="2"/>
    <x v="3"/>
    <n v="50"/>
    <n v="200"/>
  </r>
  <r>
    <n v="821"/>
    <d v="2023-02-14T00:00:00"/>
    <s v="CUST821"/>
    <s v="Male"/>
    <n v="49"/>
    <x v="2"/>
    <x v="2"/>
    <n v="300"/>
    <n v="300"/>
  </r>
  <r>
    <n v="822"/>
    <d v="2023-05-23T00:00:00"/>
    <s v="CUST822"/>
    <s v="Female"/>
    <n v="52"/>
    <x v="0"/>
    <x v="0"/>
    <n v="50"/>
    <n v="150"/>
  </r>
  <r>
    <n v="823"/>
    <d v="2023-08-19T00:00:00"/>
    <s v="CUST823"/>
    <s v="Female"/>
    <n v="56"/>
    <x v="2"/>
    <x v="1"/>
    <n v="50"/>
    <n v="100"/>
  </r>
  <r>
    <n v="824"/>
    <d v="2023-05-05T00:00:00"/>
    <s v="CUST824"/>
    <s v="Male"/>
    <n v="63"/>
    <x v="1"/>
    <x v="3"/>
    <n v="30"/>
    <n v="120"/>
  </r>
  <r>
    <n v="825"/>
    <d v="2023-08-26T00:00:00"/>
    <s v="CUST825"/>
    <s v="Female"/>
    <n v="46"/>
    <x v="0"/>
    <x v="2"/>
    <n v="25"/>
    <n v="25"/>
  </r>
  <r>
    <n v="826"/>
    <d v="2023-10-19T00:00:00"/>
    <s v="CUST826"/>
    <s v="Female"/>
    <n v="46"/>
    <x v="1"/>
    <x v="2"/>
    <n v="300"/>
    <n v="300"/>
  </r>
  <r>
    <n v="827"/>
    <d v="2023-11-09T00:00:00"/>
    <s v="CUST827"/>
    <s v="Male"/>
    <n v="61"/>
    <x v="0"/>
    <x v="0"/>
    <n v="300"/>
    <n v="900"/>
  </r>
  <r>
    <n v="828"/>
    <d v="2023-12-09T00:00:00"/>
    <s v="CUST828"/>
    <s v="Female"/>
    <n v="33"/>
    <x v="2"/>
    <x v="3"/>
    <n v="300"/>
    <n v="1200"/>
  </r>
  <r>
    <n v="829"/>
    <d v="2023-07-14T00:00:00"/>
    <s v="CUST829"/>
    <s v="Male"/>
    <n v="61"/>
    <x v="0"/>
    <x v="0"/>
    <n v="30"/>
    <n v="90"/>
  </r>
  <r>
    <n v="830"/>
    <d v="2023-06-22T00:00:00"/>
    <s v="CUST830"/>
    <s v="Female"/>
    <n v="64"/>
    <x v="1"/>
    <x v="0"/>
    <n v="50"/>
    <n v="150"/>
  </r>
  <r>
    <n v="831"/>
    <d v="2023-01-15T00:00:00"/>
    <s v="CUST831"/>
    <s v="Male"/>
    <n v="27"/>
    <x v="2"/>
    <x v="3"/>
    <n v="25"/>
    <n v="100"/>
  </r>
  <r>
    <n v="832"/>
    <d v="2023-09-11T00:00:00"/>
    <s v="CUST832"/>
    <s v="Male"/>
    <n v="47"/>
    <x v="0"/>
    <x v="3"/>
    <n v="500"/>
    <n v="2000"/>
  </r>
  <r>
    <n v="833"/>
    <d v="2023-06-16T00:00:00"/>
    <s v="CUST833"/>
    <s v="Male"/>
    <n v="42"/>
    <x v="0"/>
    <x v="3"/>
    <n v="50"/>
    <n v="200"/>
  </r>
  <r>
    <n v="834"/>
    <d v="2023-04-04T00:00:00"/>
    <s v="CUST834"/>
    <s v="Female"/>
    <n v="56"/>
    <x v="0"/>
    <x v="1"/>
    <n v="30"/>
    <n v="60"/>
  </r>
  <r>
    <n v="835"/>
    <d v="2023-09-07T00:00:00"/>
    <s v="CUST835"/>
    <s v="Male"/>
    <n v="37"/>
    <x v="1"/>
    <x v="3"/>
    <n v="50"/>
    <n v="200"/>
  </r>
  <r>
    <n v="836"/>
    <d v="2023-04-19T00:00:00"/>
    <s v="CUST836"/>
    <s v="Female"/>
    <n v="22"/>
    <x v="1"/>
    <x v="2"/>
    <n v="50"/>
    <n v="50"/>
  </r>
  <r>
    <n v="837"/>
    <d v="2023-07-01T00:00:00"/>
    <s v="CUST837"/>
    <s v="Male"/>
    <n v="18"/>
    <x v="0"/>
    <x v="0"/>
    <n v="30"/>
    <n v="90"/>
  </r>
  <r>
    <n v="838"/>
    <d v="2023-05-13T00:00:00"/>
    <s v="CUST838"/>
    <s v="Male"/>
    <n v="47"/>
    <x v="2"/>
    <x v="1"/>
    <n v="300"/>
    <n v="600"/>
  </r>
  <r>
    <n v="839"/>
    <d v="2023-06-24T00:00:00"/>
    <s v="CUST839"/>
    <s v="Female"/>
    <n v="20"/>
    <x v="2"/>
    <x v="3"/>
    <n v="300"/>
    <n v="1200"/>
  </r>
  <r>
    <n v="840"/>
    <d v="2023-05-24T00:00:00"/>
    <s v="CUST840"/>
    <s v="Male"/>
    <n v="62"/>
    <x v="1"/>
    <x v="1"/>
    <n v="25"/>
    <n v="50"/>
  </r>
  <r>
    <n v="841"/>
    <d v="2023-11-02T00:00:00"/>
    <s v="CUST841"/>
    <s v="Male"/>
    <n v="31"/>
    <x v="2"/>
    <x v="3"/>
    <n v="25"/>
    <n v="100"/>
  </r>
  <r>
    <n v="842"/>
    <d v="2023-12-26T00:00:00"/>
    <s v="CUST842"/>
    <s v="Female"/>
    <n v="47"/>
    <x v="1"/>
    <x v="1"/>
    <n v="300"/>
    <n v="600"/>
  </r>
  <r>
    <n v="843"/>
    <d v="2023-05-22T00:00:00"/>
    <s v="CUST843"/>
    <s v="Male"/>
    <n v="21"/>
    <x v="0"/>
    <x v="0"/>
    <n v="500"/>
    <n v="1500"/>
  </r>
  <r>
    <n v="844"/>
    <d v="2023-10-12T00:00:00"/>
    <s v="CUST844"/>
    <s v="Male"/>
    <n v="35"/>
    <x v="1"/>
    <x v="0"/>
    <n v="50"/>
    <n v="150"/>
  </r>
  <r>
    <n v="845"/>
    <d v="2023-01-06T00:00:00"/>
    <s v="CUST845"/>
    <s v="Male"/>
    <n v="54"/>
    <x v="1"/>
    <x v="2"/>
    <n v="500"/>
    <n v="500"/>
  </r>
  <r>
    <n v="846"/>
    <d v="2023-09-22T00:00:00"/>
    <s v="CUST846"/>
    <s v="Male"/>
    <n v="42"/>
    <x v="0"/>
    <x v="2"/>
    <n v="50"/>
    <n v="50"/>
  </r>
  <r>
    <n v="847"/>
    <d v="2023-04-08T00:00:00"/>
    <s v="CUST847"/>
    <s v="Female"/>
    <n v="18"/>
    <x v="2"/>
    <x v="3"/>
    <n v="300"/>
    <n v="1200"/>
  </r>
  <r>
    <n v="848"/>
    <d v="2023-02-13T00:00:00"/>
    <s v="CUST848"/>
    <s v="Female"/>
    <n v="63"/>
    <x v="1"/>
    <x v="0"/>
    <n v="25"/>
    <n v="75"/>
  </r>
  <r>
    <n v="849"/>
    <d v="2023-05-04T00:00:00"/>
    <s v="CUST849"/>
    <s v="Male"/>
    <n v="32"/>
    <x v="1"/>
    <x v="1"/>
    <n v="25"/>
    <n v="50"/>
  </r>
  <r>
    <n v="850"/>
    <d v="2023-07-28T00:00:00"/>
    <s v="CUST850"/>
    <s v="Female"/>
    <n v="26"/>
    <x v="0"/>
    <x v="1"/>
    <n v="500"/>
    <n v="1000"/>
  </r>
  <r>
    <n v="851"/>
    <d v="2023-09-08T00:00:00"/>
    <s v="CUST851"/>
    <s v="Male"/>
    <n v="32"/>
    <x v="2"/>
    <x v="1"/>
    <n v="25"/>
    <n v="50"/>
  </r>
  <r>
    <n v="852"/>
    <d v="2023-10-12T00:00:00"/>
    <s v="CUST852"/>
    <s v="Female"/>
    <n v="41"/>
    <x v="1"/>
    <x v="2"/>
    <n v="300"/>
    <n v="300"/>
  </r>
  <r>
    <n v="853"/>
    <d v="2023-05-04T00:00:00"/>
    <s v="CUST853"/>
    <s v="Male"/>
    <n v="21"/>
    <x v="0"/>
    <x v="1"/>
    <n v="500"/>
    <n v="1000"/>
  </r>
  <r>
    <n v="854"/>
    <d v="2023-12-20T00:00:00"/>
    <s v="CUST854"/>
    <s v="Male"/>
    <n v="29"/>
    <x v="1"/>
    <x v="2"/>
    <n v="50"/>
    <n v="50"/>
  </r>
  <r>
    <n v="855"/>
    <d v="2023-09-01T00:00:00"/>
    <s v="CUST855"/>
    <s v="Male"/>
    <n v="54"/>
    <x v="0"/>
    <x v="2"/>
    <n v="25"/>
    <n v="25"/>
  </r>
  <r>
    <n v="856"/>
    <d v="2023-11-27T00:00:00"/>
    <s v="CUST856"/>
    <s v="Male"/>
    <n v="54"/>
    <x v="2"/>
    <x v="3"/>
    <n v="30"/>
    <n v="120"/>
  </r>
  <r>
    <n v="857"/>
    <d v="2023-12-31T00:00:00"/>
    <s v="CUST857"/>
    <s v="Male"/>
    <n v="60"/>
    <x v="2"/>
    <x v="1"/>
    <n v="25"/>
    <n v="50"/>
  </r>
  <r>
    <n v="858"/>
    <d v="2023-09-09T00:00:00"/>
    <s v="CUST858"/>
    <s v="Male"/>
    <n v="23"/>
    <x v="2"/>
    <x v="1"/>
    <n v="50"/>
    <n v="100"/>
  </r>
  <r>
    <n v="859"/>
    <d v="2023-08-18T00:00:00"/>
    <s v="CUST859"/>
    <s v="Female"/>
    <n v="56"/>
    <x v="2"/>
    <x v="0"/>
    <n v="500"/>
    <n v="1500"/>
  </r>
  <r>
    <n v="860"/>
    <d v="2023-01-09T00:00:00"/>
    <s v="CUST860"/>
    <s v="Male"/>
    <n v="63"/>
    <x v="1"/>
    <x v="3"/>
    <n v="50"/>
    <n v="200"/>
  </r>
  <r>
    <n v="861"/>
    <d v="2023-02-17T00:00:00"/>
    <s v="CUST861"/>
    <s v="Female"/>
    <n v="41"/>
    <x v="1"/>
    <x v="0"/>
    <n v="30"/>
    <n v="90"/>
  </r>
  <r>
    <n v="862"/>
    <d v="2023-05-31T00:00:00"/>
    <s v="CUST862"/>
    <s v="Male"/>
    <n v="28"/>
    <x v="2"/>
    <x v="3"/>
    <n v="300"/>
    <n v="1200"/>
  </r>
  <r>
    <n v="863"/>
    <d v="2023-04-24T00:00:00"/>
    <s v="CUST863"/>
    <s v="Female"/>
    <n v="30"/>
    <x v="2"/>
    <x v="1"/>
    <n v="25"/>
    <n v="50"/>
  </r>
  <r>
    <n v="864"/>
    <d v="2023-07-27T00:00:00"/>
    <s v="CUST864"/>
    <s v="Female"/>
    <n v="51"/>
    <x v="2"/>
    <x v="2"/>
    <n v="500"/>
    <n v="500"/>
  </r>
  <r>
    <n v="865"/>
    <d v="2023-12-21T00:00:00"/>
    <s v="CUST865"/>
    <s v="Female"/>
    <n v="42"/>
    <x v="1"/>
    <x v="2"/>
    <n v="300"/>
    <n v="300"/>
  </r>
  <r>
    <n v="866"/>
    <d v="2023-05-05T00:00:00"/>
    <s v="CUST866"/>
    <s v="Male"/>
    <n v="24"/>
    <x v="2"/>
    <x v="2"/>
    <n v="50"/>
    <n v="50"/>
  </r>
  <r>
    <n v="867"/>
    <d v="2023-06-06T00:00:00"/>
    <s v="CUST867"/>
    <s v="Male"/>
    <n v="21"/>
    <x v="2"/>
    <x v="2"/>
    <n v="500"/>
    <n v="500"/>
  </r>
  <r>
    <n v="868"/>
    <d v="2023-12-06T00:00:00"/>
    <s v="CUST868"/>
    <s v="Female"/>
    <n v="25"/>
    <x v="2"/>
    <x v="2"/>
    <n v="300"/>
    <n v="300"/>
  </r>
  <r>
    <n v="869"/>
    <d v="2023-10-25T00:00:00"/>
    <s v="CUST869"/>
    <s v="Male"/>
    <n v="37"/>
    <x v="0"/>
    <x v="0"/>
    <n v="500"/>
    <n v="1500"/>
  </r>
  <r>
    <n v="870"/>
    <d v="2023-07-08T00:00:00"/>
    <s v="CUST870"/>
    <s v="Female"/>
    <n v="46"/>
    <x v="2"/>
    <x v="3"/>
    <n v="30"/>
    <n v="120"/>
  </r>
  <r>
    <n v="871"/>
    <d v="2023-08-31T00:00:00"/>
    <s v="CUST871"/>
    <s v="Male"/>
    <n v="62"/>
    <x v="0"/>
    <x v="1"/>
    <n v="30"/>
    <n v="60"/>
  </r>
  <r>
    <n v="872"/>
    <d v="2023-10-11T00:00:00"/>
    <s v="CUST872"/>
    <s v="Female"/>
    <n v="63"/>
    <x v="0"/>
    <x v="0"/>
    <n v="25"/>
    <n v="75"/>
  </r>
  <r>
    <n v="873"/>
    <d v="2023-09-29T00:00:00"/>
    <s v="CUST873"/>
    <s v="Female"/>
    <n v="27"/>
    <x v="2"/>
    <x v="3"/>
    <n v="25"/>
    <n v="100"/>
  </r>
  <r>
    <n v="874"/>
    <d v="2023-06-26T00:00:00"/>
    <s v="CUST874"/>
    <s v="Male"/>
    <n v="60"/>
    <x v="0"/>
    <x v="2"/>
    <n v="30"/>
    <n v="30"/>
  </r>
  <r>
    <n v="875"/>
    <d v="2023-08-06T00:00:00"/>
    <s v="CUST875"/>
    <s v="Female"/>
    <n v="51"/>
    <x v="2"/>
    <x v="3"/>
    <n v="500"/>
    <n v="2000"/>
  </r>
  <r>
    <n v="876"/>
    <d v="2023-10-09T00:00:00"/>
    <s v="CUST876"/>
    <s v="Male"/>
    <n v="43"/>
    <x v="1"/>
    <x v="3"/>
    <n v="30"/>
    <n v="120"/>
  </r>
  <r>
    <n v="877"/>
    <d v="2023-06-19T00:00:00"/>
    <s v="CUST877"/>
    <s v="Female"/>
    <n v="58"/>
    <x v="1"/>
    <x v="2"/>
    <n v="25"/>
    <n v="25"/>
  </r>
  <r>
    <n v="878"/>
    <d v="2023-06-30T00:00:00"/>
    <s v="CUST878"/>
    <s v="Female"/>
    <n v="20"/>
    <x v="1"/>
    <x v="2"/>
    <n v="30"/>
    <n v="30"/>
  </r>
  <r>
    <n v="879"/>
    <d v="2023-12-26T00:00:00"/>
    <s v="CUST879"/>
    <s v="Male"/>
    <n v="23"/>
    <x v="1"/>
    <x v="2"/>
    <n v="30"/>
    <n v="30"/>
  </r>
  <r>
    <n v="880"/>
    <d v="2023-08-21T00:00:00"/>
    <s v="CUST880"/>
    <s v="Male"/>
    <n v="22"/>
    <x v="0"/>
    <x v="1"/>
    <n v="500"/>
    <n v="1000"/>
  </r>
  <r>
    <n v="881"/>
    <d v="2023-05-19T00:00:00"/>
    <s v="CUST881"/>
    <s v="Male"/>
    <n v="22"/>
    <x v="2"/>
    <x v="2"/>
    <n v="300"/>
    <n v="300"/>
  </r>
  <r>
    <n v="882"/>
    <d v="2023-06-06T00:00:00"/>
    <s v="CUST882"/>
    <s v="Female"/>
    <n v="64"/>
    <x v="2"/>
    <x v="1"/>
    <n v="25"/>
    <n v="50"/>
  </r>
  <r>
    <n v="883"/>
    <d v="2023-05-09T00:00:00"/>
    <s v="CUST883"/>
    <s v="Male"/>
    <n v="40"/>
    <x v="2"/>
    <x v="2"/>
    <n v="500"/>
    <n v="500"/>
  </r>
  <r>
    <n v="884"/>
    <d v="2023-04-29T00:00:00"/>
    <s v="CUST884"/>
    <s v="Female"/>
    <n v="26"/>
    <x v="1"/>
    <x v="1"/>
    <n v="30"/>
    <n v="60"/>
  </r>
  <r>
    <n v="885"/>
    <d v="2023-03-03T00:00:00"/>
    <s v="CUST885"/>
    <s v="Female"/>
    <n v="52"/>
    <x v="1"/>
    <x v="3"/>
    <n v="30"/>
    <n v="120"/>
  </r>
  <r>
    <n v="886"/>
    <d v="2023-04-09T00:00:00"/>
    <s v="CUST886"/>
    <s v="Male"/>
    <n v="37"/>
    <x v="2"/>
    <x v="0"/>
    <n v="300"/>
    <n v="900"/>
  </r>
  <r>
    <n v="887"/>
    <d v="2023-06-11T00:00:00"/>
    <s v="CUST887"/>
    <s v="Male"/>
    <n v="59"/>
    <x v="1"/>
    <x v="3"/>
    <n v="25"/>
    <n v="100"/>
  </r>
  <r>
    <n v="888"/>
    <d v="2023-03-03T00:00:00"/>
    <s v="CUST888"/>
    <s v="Female"/>
    <n v="52"/>
    <x v="2"/>
    <x v="3"/>
    <n v="25"/>
    <n v="100"/>
  </r>
  <r>
    <n v="889"/>
    <d v="2023-10-02T00:00:00"/>
    <s v="CUST889"/>
    <s v="Female"/>
    <n v="35"/>
    <x v="2"/>
    <x v="2"/>
    <n v="50"/>
    <n v="50"/>
  </r>
  <r>
    <n v="890"/>
    <d v="2023-12-20T00:00:00"/>
    <s v="CUST890"/>
    <s v="Male"/>
    <n v="34"/>
    <x v="2"/>
    <x v="1"/>
    <n v="25"/>
    <n v="50"/>
  </r>
  <r>
    <n v="891"/>
    <d v="2023-04-05T00:00:00"/>
    <s v="CUST891"/>
    <s v="Male"/>
    <n v="41"/>
    <x v="2"/>
    <x v="0"/>
    <n v="300"/>
    <n v="900"/>
  </r>
  <r>
    <n v="892"/>
    <d v="2023-04-09T00:00:00"/>
    <s v="CUST892"/>
    <s v="Male"/>
    <n v="20"/>
    <x v="2"/>
    <x v="2"/>
    <n v="50"/>
    <n v="50"/>
  </r>
  <r>
    <n v="893"/>
    <d v="2023-04-21T00:00:00"/>
    <s v="CUST893"/>
    <s v="Male"/>
    <n v="49"/>
    <x v="2"/>
    <x v="2"/>
    <n v="50"/>
    <n v="50"/>
  </r>
  <r>
    <n v="894"/>
    <d v="2023-09-05T00:00:00"/>
    <s v="CUST894"/>
    <s v="Male"/>
    <n v="52"/>
    <x v="2"/>
    <x v="2"/>
    <n v="30"/>
    <n v="30"/>
  </r>
  <r>
    <n v="895"/>
    <d v="2023-05-22T00:00:00"/>
    <s v="CUST895"/>
    <s v="Female"/>
    <n v="55"/>
    <x v="1"/>
    <x v="3"/>
    <n v="30"/>
    <n v="120"/>
  </r>
  <r>
    <n v="896"/>
    <d v="2023-10-29T00:00:00"/>
    <s v="CUST896"/>
    <s v="Female"/>
    <n v="30"/>
    <x v="2"/>
    <x v="1"/>
    <n v="25"/>
    <n v="50"/>
  </r>
  <r>
    <n v="897"/>
    <d v="2023-09-26T00:00:00"/>
    <s v="CUST897"/>
    <s v="Female"/>
    <n v="64"/>
    <x v="2"/>
    <x v="1"/>
    <n v="50"/>
    <n v="100"/>
  </r>
  <r>
    <n v="898"/>
    <d v="2023-11-02T00:00:00"/>
    <s v="CUST898"/>
    <s v="Female"/>
    <n v="42"/>
    <x v="1"/>
    <x v="0"/>
    <n v="30"/>
    <n v="90"/>
  </r>
  <r>
    <n v="899"/>
    <d v="2023-05-25T00:00:00"/>
    <s v="CUST899"/>
    <s v="Male"/>
    <n v="26"/>
    <x v="1"/>
    <x v="1"/>
    <n v="300"/>
    <n v="600"/>
  </r>
  <r>
    <n v="900"/>
    <d v="2023-02-21T00:00:00"/>
    <s v="CUST900"/>
    <s v="Male"/>
    <n v="21"/>
    <x v="1"/>
    <x v="1"/>
    <n v="30"/>
    <n v="60"/>
  </r>
  <r>
    <n v="901"/>
    <d v="2023-04-10T00:00:00"/>
    <s v="CUST901"/>
    <s v="Male"/>
    <n v="31"/>
    <x v="2"/>
    <x v="2"/>
    <n v="30"/>
    <n v="30"/>
  </r>
  <r>
    <n v="902"/>
    <d v="2023-06-01T00:00:00"/>
    <s v="CUST902"/>
    <s v="Female"/>
    <n v="54"/>
    <x v="0"/>
    <x v="2"/>
    <n v="50"/>
    <n v="50"/>
  </r>
  <r>
    <n v="903"/>
    <d v="2023-04-27T00:00:00"/>
    <s v="CUST903"/>
    <s v="Female"/>
    <n v="51"/>
    <x v="0"/>
    <x v="3"/>
    <n v="50"/>
    <n v="200"/>
  </r>
  <r>
    <n v="904"/>
    <d v="2023-07-04T00:00:00"/>
    <s v="CUST904"/>
    <s v="Male"/>
    <n v="28"/>
    <x v="1"/>
    <x v="2"/>
    <n v="500"/>
    <n v="500"/>
  </r>
  <r>
    <n v="905"/>
    <d v="2023-04-02T00:00:00"/>
    <s v="CUST905"/>
    <s v="Male"/>
    <n v="58"/>
    <x v="0"/>
    <x v="2"/>
    <n v="300"/>
    <n v="300"/>
  </r>
  <r>
    <n v="906"/>
    <d v="2023-06-04T00:00:00"/>
    <s v="CUST906"/>
    <s v="Female"/>
    <n v="20"/>
    <x v="1"/>
    <x v="2"/>
    <n v="50"/>
    <n v="50"/>
  </r>
  <r>
    <n v="907"/>
    <d v="2023-01-08T00:00:00"/>
    <s v="CUST907"/>
    <s v="Female"/>
    <n v="45"/>
    <x v="2"/>
    <x v="2"/>
    <n v="25"/>
    <n v="25"/>
  </r>
  <r>
    <n v="908"/>
    <d v="2023-12-29T00:00:00"/>
    <s v="CUST908"/>
    <s v="Male"/>
    <n v="46"/>
    <x v="0"/>
    <x v="3"/>
    <n v="300"/>
    <n v="1200"/>
  </r>
  <r>
    <n v="909"/>
    <d v="2023-10-01T00:00:00"/>
    <s v="CUST909"/>
    <s v="Male"/>
    <n v="26"/>
    <x v="2"/>
    <x v="2"/>
    <n v="300"/>
    <n v="300"/>
  </r>
  <r>
    <n v="910"/>
    <d v="2023-03-06T00:00:00"/>
    <s v="CUST910"/>
    <s v="Female"/>
    <n v="20"/>
    <x v="0"/>
    <x v="0"/>
    <n v="50"/>
    <n v="150"/>
  </r>
  <r>
    <n v="911"/>
    <d v="2023-05-21T00:00:00"/>
    <s v="CUST911"/>
    <s v="Male"/>
    <n v="42"/>
    <x v="2"/>
    <x v="0"/>
    <n v="300"/>
    <n v="900"/>
  </r>
  <r>
    <n v="912"/>
    <d v="2023-01-24T00:00:00"/>
    <s v="CUST912"/>
    <s v="Male"/>
    <n v="51"/>
    <x v="0"/>
    <x v="0"/>
    <n v="50"/>
    <n v="150"/>
  </r>
  <r>
    <n v="913"/>
    <d v="2023-01-28T00:00:00"/>
    <s v="CUST913"/>
    <s v="Male"/>
    <n v="29"/>
    <x v="2"/>
    <x v="0"/>
    <n v="30"/>
    <n v="90"/>
  </r>
  <r>
    <n v="914"/>
    <d v="2023-10-11T00:00:00"/>
    <s v="CUST914"/>
    <s v="Female"/>
    <n v="59"/>
    <x v="2"/>
    <x v="2"/>
    <n v="500"/>
    <n v="500"/>
  </r>
  <r>
    <n v="915"/>
    <d v="2023-05-30T00:00:00"/>
    <s v="CUST915"/>
    <s v="Female"/>
    <n v="26"/>
    <x v="0"/>
    <x v="0"/>
    <n v="30"/>
    <n v="90"/>
  </r>
  <r>
    <n v="916"/>
    <d v="2023-12-24T00:00:00"/>
    <s v="CUST916"/>
    <s v="Female"/>
    <n v="32"/>
    <x v="2"/>
    <x v="2"/>
    <n v="50"/>
    <n v="50"/>
  </r>
  <r>
    <n v="917"/>
    <d v="2023-03-06T00:00:00"/>
    <s v="CUST917"/>
    <s v="Female"/>
    <n v="57"/>
    <x v="2"/>
    <x v="3"/>
    <n v="50"/>
    <n v="200"/>
  </r>
  <r>
    <n v="918"/>
    <d v="2023-11-23T00:00:00"/>
    <s v="CUST918"/>
    <s v="Female"/>
    <n v="42"/>
    <x v="2"/>
    <x v="0"/>
    <n v="30"/>
    <n v="90"/>
  </r>
  <r>
    <n v="919"/>
    <d v="2023-09-09T00:00:00"/>
    <s v="CUST919"/>
    <s v="Female"/>
    <n v="22"/>
    <x v="0"/>
    <x v="1"/>
    <n v="25"/>
    <n v="50"/>
  </r>
  <r>
    <n v="920"/>
    <d v="2023-02-22T00:00:00"/>
    <s v="CUST920"/>
    <s v="Female"/>
    <n v="28"/>
    <x v="0"/>
    <x v="0"/>
    <n v="25"/>
    <n v="75"/>
  </r>
  <r>
    <n v="921"/>
    <d v="2023-01-07T00:00:00"/>
    <s v="CUST921"/>
    <s v="Male"/>
    <n v="51"/>
    <x v="2"/>
    <x v="0"/>
    <n v="25"/>
    <n v="75"/>
  </r>
  <r>
    <n v="922"/>
    <d v="2023-10-21T00:00:00"/>
    <s v="CUST922"/>
    <s v="Male"/>
    <n v="41"/>
    <x v="2"/>
    <x v="2"/>
    <n v="50"/>
    <n v="50"/>
  </r>
  <r>
    <n v="923"/>
    <d v="2023-05-26T00:00:00"/>
    <s v="CUST923"/>
    <s v="Male"/>
    <n v="32"/>
    <x v="0"/>
    <x v="0"/>
    <n v="300"/>
    <n v="900"/>
  </r>
  <r>
    <n v="924"/>
    <d v="2023-08-29T00:00:00"/>
    <s v="CUST924"/>
    <s v="Male"/>
    <n v="55"/>
    <x v="0"/>
    <x v="1"/>
    <n v="50"/>
    <n v="100"/>
  </r>
  <r>
    <n v="925"/>
    <d v="2023-09-03T00:00:00"/>
    <s v="CUST925"/>
    <s v="Male"/>
    <n v="25"/>
    <x v="2"/>
    <x v="2"/>
    <n v="300"/>
    <n v="300"/>
  </r>
  <r>
    <n v="926"/>
    <d v="2023-08-14T00:00:00"/>
    <s v="CUST926"/>
    <s v="Male"/>
    <n v="22"/>
    <x v="2"/>
    <x v="2"/>
    <n v="30"/>
    <n v="30"/>
  </r>
  <r>
    <n v="927"/>
    <d v="2023-06-24T00:00:00"/>
    <s v="CUST927"/>
    <s v="Male"/>
    <n v="43"/>
    <x v="2"/>
    <x v="3"/>
    <n v="500"/>
    <n v="2000"/>
  </r>
  <r>
    <n v="928"/>
    <d v="2023-04-05T00:00:00"/>
    <s v="CUST928"/>
    <s v="Female"/>
    <n v="35"/>
    <x v="1"/>
    <x v="3"/>
    <n v="300"/>
    <n v="1200"/>
  </r>
  <r>
    <n v="929"/>
    <d v="2023-01-27T00:00:00"/>
    <s v="CUST929"/>
    <s v="Female"/>
    <n v="23"/>
    <x v="0"/>
    <x v="0"/>
    <n v="25"/>
    <n v="75"/>
  </r>
  <r>
    <n v="930"/>
    <d v="2023-05-10T00:00:00"/>
    <s v="CUST930"/>
    <s v="Male"/>
    <n v="54"/>
    <x v="1"/>
    <x v="3"/>
    <n v="50"/>
    <n v="200"/>
  </r>
  <r>
    <n v="931"/>
    <d v="2023-09-02T00:00:00"/>
    <s v="CUST931"/>
    <s v="Male"/>
    <n v="30"/>
    <x v="0"/>
    <x v="3"/>
    <n v="30"/>
    <n v="120"/>
  </r>
  <r>
    <n v="932"/>
    <d v="2023-02-28T00:00:00"/>
    <s v="CUST932"/>
    <s v="Female"/>
    <n v="45"/>
    <x v="0"/>
    <x v="3"/>
    <n v="25"/>
    <n v="100"/>
  </r>
  <r>
    <n v="933"/>
    <d v="2023-02-03T00:00:00"/>
    <s v="CUST933"/>
    <s v="Male"/>
    <n v="22"/>
    <x v="0"/>
    <x v="2"/>
    <n v="30"/>
    <n v="30"/>
  </r>
  <r>
    <n v="934"/>
    <d v="2023-07-25T00:00:00"/>
    <s v="CUST934"/>
    <s v="Male"/>
    <n v="30"/>
    <x v="0"/>
    <x v="2"/>
    <n v="500"/>
    <n v="500"/>
  </r>
  <r>
    <n v="935"/>
    <d v="2023-09-09T00:00:00"/>
    <s v="CUST935"/>
    <s v="Female"/>
    <n v="34"/>
    <x v="0"/>
    <x v="2"/>
    <n v="50"/>
    <n v="50"/>
  </r>
  <r>
    <n v="936"/>
    <d v="2023-02-07T00:00:00"/>
    <s v="CUST936"/>
    <s v="Male"/>
    <n v="57"/>
    <x v="0"/>
    <x v="3"/>
    <n v="50"/>
    <n v="200"/>
  </r>
  <r>
    <n v="937"/>
    <d v="2023-10-23T00:00:00"/>
    <s v="CUST937"/>
    <s v="Female"/>
    <n v="62"/>
    <x v="0"/>
    <x v="2"/>
    <n v="500"/>
    <n v="500"/>
  </r>
  <r>
    <n v="938"/>
    <d v="2023-11-19T00:00:00"/>
    <s v="CUST938"/>
    <s v="Male"/>
    <n v="49"/>
    <x v="1"/>
    <x v="3"/>
    <n v="50"/>
    <n v="200"/>
  </r>
  <r>
    <n v="939"/>
    <d v="2023-12-18T00:00:00"/>
    <s v="CUST939"/>
    <s v="Female"/>
    <n v="46"/>
    <x v="2"/>
    <x v="2"/>
    <n v="300"/>
    <n v="300"/>
  </r>
  <r>
    <n v="940"/>
    <d v="2023-01-28T00:00:00"/>
    <s v="CUST940"/>
    <s v="Female"/>
    <n v="20"/>
    <x v="2"/>
    <x v="2"/>
    <n v="30"/>
    <n v="30"/>
  </r>
  <r>
    <n v="941"/>
    <d v="2023-03-19T00:00:00"/>
    <s v="CUST941"/>
    <s v="Female"/>
    <n v="57"/>
    <x v="1"/>
    <x v="1"/>
    <n v="25"/>
    <n v="50"/>
  </r>
  <r>
    <n v="942"/>
    <d v="2023-03-18T00:00:00"/>
    <s v="CUST942"/>
    <s v="Male"/>
    <n v="51"/>
    <x v="1"/>
    <x v="0"/>
    <n v="500"/>
    <n v="1500"/>
  </r>
  <r>
    <n v="943"/>
    <d v="2023-10-16T00:00:00"/>
    <s v="CUST943"/>
    <s v="Female"/>
    <n v="57"/>
    <x v="1"/>
    <x v="3"/>
    <n v="300"/>
    <n v="1200"/>
  </r>
  <r>
    <n v="944"/>
    <d v="2023-06-05T00:00:00"/>
    <s v="CUST944"/>
    <s v="Male"/>
    <n v="44"/>
    <x v="1"/>
    <x v="1"/>
    <n v="25"/>
    <n v="50"/>
  </r>
  <r>
    <n v="945"/>
    <d v="2023-02-13T00:00:00"/>
    <s v="CUST945"/>
    <s v="Male"/>
    <n v="30"/>
    <x v="0"/>
    <x v="2"/>
    <n v="25"/>
    <n v="25"/>
  </r>
  <r>
    <n v="946"/>
    <d v="2023-05-08T00:00:00"/>
    <s v="CUST946"/>
    <s v="Male"/>
    <n v="62"/>
    <x v="2"/>
    <x v="3"/>
    <n v="500"/>
    <n v="2000"/>
  </r>
  <r>
    <n v="947"/>
    <d v="2023-03-02T00:00:00"/>
    <s v="CUST947"/>
    <s v="Male"/>
    <n v="50"/>
    <x v="0"/>
    <x v="2"/>
    <n v="300"/>
    <n v="300"/>
  </r>
  <r>
    <n v="948"/>
    <d v="2023-10-13T00:00:00"/>
    <s v="CUST948"/>
    <s v="Female"/>
    <n v="23"/>
    <x v="2"/>
    <x v="0"/>
    <n v="25"/>
    <n v="75"/>
  </r>
  <r>
    <n v="949"/>
    <d v="2023-08-02T00:00:00"/>
    <s v="CUST949"/>
    <s v="Female"/>
    <n v="41"/>
    <x v="2"/>
    <x v="1"/>
    <n v="25"/>
    <n v="50"/>
  </r>
  <r>
    <n v="950"/>
    <d v="2023-11-07T00:00:00"/>
    <s v="CUST950"/>
    <s v="Male"/>
    <n v="36"/>
    <x v="1"/>
    <x v="0"/>
    <n v="300"/>
    <n v="900"/>
  </r>
  <r>
    <n v="951"/>
    <d v="2023-11-02T00:00:00"/>
    <s v="CUST951"/>
    <s v="Male"/>
    <n v="33"/>
    <x v="0"/>
    <x v="1"/>
    <n v="50"/>
    <n v="100"/>
  </r>
  <r>
    <n v="952"/>
    <d v="2023-11-13T00:00:00"/>
    <s v="CUST952"/>
    <s v="Female"/>
    <n v="57"/>
    <x v="1"/>
    <x v="2"/>
    <n v="25"/>
    <n v="25"/>
  </r>
  <r>
    <n v="953"/>
    <d v="2023-04-26T00:00:00"/>
    <s v="CUST953"/>
    <s v="Male"/>
    <n v="45"/>
    <x v="0"/>
    <x v="0"/>
    <n v="30"/>
    <n v="90"/>
  </r>
  <r>
    <n v="954"/>
    <d v="2023-09-25T00:00:00"/>
    <s v="CUST954"/>
    <s v="Female"/>
    <n v="50"/>
    <x v="2"/>
    <x v="0"/>
    <n v="300"/>
    <n v="900"/>
  </r>
  <r>
    <n v="955"/>
    <d v="2023-07-14T00:00:00"/>
    <s v="CUST955"/>
    <s v="Male"/>
    <n v="58"/>
    <x v="1"/>
    <x v="2"/>
    <n v="25"/>
    <n v="25"/>
  </r>
  <r>
    <n v="956"/>
    <d v="2023-08-19T00:00:00"/>
    <s v="CUST956"/>
    <s v="Male"/>
    <n v="30"/>
    <x v="1"/>
    <x v="0"/>
    <n v="500"/>
    <n v="1500"/>
  </r>
  <r>
    <n v="957"/>
    <d v="2023-08-15T00:00:00"/>
    <s v="CUST957"/>
    <s v="Female"/>
    <n v="60"/>
    <x v="2"/>
    <x v="3"/>
    <n v="30"/>
    <n v="120"/>
  </r>
  <r>
    <n v="958"/>
    <d v="2023-06-02T00:00:00"/>
    <s v="CUST958"/>
    <s v="Male"/>
    <n v="62"/>
    <x v="2"/>
    <x v="1"/>
    <n v="25"/>
    <n v="50"/>
  </r>
  <r>
    <n v="959"/>
    <d v="2023-10-29T00:00:00"/>
    <s v="CUST959"/>
    <s v="Female"/>
    <n v="42"/>
    <x v="2"/>
    <x v="1"/>
    <n v="30"/>
    <n v="60"/>
  </r>
  <r>
    <n v="960"/>
    <d v="2023-08-08T00:00:00"/>
    <s v="CUST960"/>
    <s v="Male"/>
    <n v="59"/>
    <x v="1"/>
    <x v="1"/>
    <n v="30"/>
    <n v="60"/>
  </r>
  <r>
    <n v="961"/>
    <d v="2023-06-06T00:00:00"/>
    <s v="CUST961"/>
    <s v="Male"/>
    <n v="53"/>
    <x v="0"/>
    <x v="3"/>
    <n v="50"/>
    <n v="200"/>
  </r>
  <r>
    <n v="962"/>
    <d v="2023-10-19T00:00:00"/>
    <s v="CUST962"/>
    <s v="Male"/>
    <n v="44"/>
    <x v="1"/>
    <x v="1"/>
    <n v="30"/>
    <n v="60"/>
  </r>
  <r>
    <n v="963"/>
    <d v="2023-11-14T00:00:00"/>
    <s v="CUST963"/>
    <s v="Female"/>
    <n v="55"/>
    <x v="0"/>
    <x v="2"/>
    <n v="50"/>
    <n v="50"/>
  </r>
  <r>
    <n v="964"/>
    <d v="2023-01-31T00:00:00"/>
    <s v="CUST964"/>
    <s v="Male"/>
    <n v="24"/>
    <x v="1"/>
    <x v="0"/>
    <n v="300"/>
    <n v="900"/>
  </r>
  <r>
    <n v="965"/>
    <d v="2023-11-09T00:00:00"/>
    <s v="CUST965"/>
    <s v="Male"/>
    <n v="22"/>
    <x v="1"/>
    <x v="3"/>
    <n v="50"/>
    <n v="200"/>
  </r>
  <r>
    <n v="966"/>
    <d v="2023-02-20T00:00:00"/>
    <s v="CUST966"/>
    <s v="Male"/>
    <n v="60"/>
    <x v="2"/>
    <x v="1"/>
    <n v="500"/>
    <n v="1000"/>
  </r>
  <r>
    <n v="967"/>
    <d v="2023-04-17T00:00:00"/>
    <s v="CUST967"/>
    <s v="Male"/>
    <n v="62"/>
    <x v="0"/>
    <x v="2"/>
    <n v="25"/>
    <n v="25"/>
  </r>
  <r>
    <n v="968"/>
    <d v="2023-11-17T00:00:00"/>
    <s v="CUST968"/>
    <s v="Female"/>
    <n v="48"/>
    <x v="1"/>
    <x v="0"/>
    <n v="300"/>
    <n v="900"/>
  </r>
  <r>
    <n v="969"/>
    <d v="2023-04-19T00:00:00"/>
    <s v="CUST969"/>
    <s v="Female"/>
    <n v="40"/>
    <x v="1"/>
    <x v="0"/>
    <n v="300"/>
    <n v="900"/>
  </r>
  <r>
    <n v="970"/>
    <d v="2023-05-16T00:00:00"/>
    <s v="CUST970"/>
    <s v="Male"/>
    <n v="59"/>
    <x v="2"/>
    <x v="3"/>
    <n v="500"/>
    <n v="2000"/>
  </r>
  <r>
    <n v="971"/>
    <d v="2023-12-05T00:00:00"/>
    <s v="CUST971"/>
    <s v="Female"/>
    <n v="27"/>
    <x v="2"/>
    <x v="3"/>
    <n v="50"/>
    <n v="200"/>
  </r>
  <r>
    <n v="972"/>
    <d v="2023-02-11T00:00:00"/>
    <s v="CUST972"/>
    <s v="Male"/>
    <n v="49"/>
    <x v="0"/>
    <x v="3"/>
    <n v="25"/>
    <n v="100"/>
  </r>
  <r>
    <n v="973"/>
    <d v="2023-03-22T00:00:00"/>
    <s v="CUST973"/>
    <s v="Male"/>
    <n v="60"/>
    <x v="1"/>
    <x v="2"/>
    <n v="50"/>
    <n v="50"/>
  </r>
  <r>
    <n v="974"/>
    <d v="2023-05-03T00:00:00"/>
    <s v="CUST974"/>
    <s v="Male"/>
    <n v="47"/>
    <x v="0"/>
    <x v="2"/>
    <n v="30"/>
    <n v="30"/>
  </r>
  <r>
    <n v="975"/>
    <d v="2023-03-30T00:00:00"/>
    <s v="CUST975"/>
    <s v="Female"/>
    <n v="56"/>
    <x v="1"/>
    <x v="3"/>
    <n v="50"/>
    <n v="200"/>
  </r>
  <r>
    <n v="976"/>
    <d v="2023-10-10T00:00:00"/>
    <s v="CUST976"/>
    <s v="Female"/>
    <n v="48"/>
    <x v="0"/>
    <x v="1"/>
    <n v="300"/>
    <n v="600"/>
  </r>
  <r>
    <n v="977"/>
    <d v="2023-02-08T00:00:00"/>
    <s v="CUST977"/>
    <s v="Female"/>
    <n v="35"/>
    <x v="2"/>
    <x v="0"/>
    <n v="25"/>
    <n v="75"/>
  </r>
  <r>
    <n v="978"/>
    <d v="2023-03-22T00:00:00"/>
    <s v="CUST978"/>
    <s v="Female"/>
    <n v="53"/>
    <x v="1"/>
    <x v="0"/>
    <n v="50"/>
    <n v="150"/>
  </r>
  <r>
    <n v="979"/>
    <d v="2023-01-02T00:00:00"/>
    <s v="CUST979"/>
    <s v="Female"/>
    <n v="19"/>
    <x v="0"/>
    <x v="2"/>
    <n v="25"/>
    <n v="25"/>
  </r>
  <r>
    <n v="980"/>
    <d v="2023-07-29T00:00:00"/>
    <s v="CUST980"/>
    <s v="Female"/>
    <n v="31"/>
    <x v="2"/>
    <x v="0"/>
    <n v="25"/>
    <n v="75"/>
  </r>
  <r>
    <n v="981"/>
    <d v="2023-08-19T00:00:00"/>
    <s v="CUST981"/>
    <s v="Female"/>
    <n v="30"/>
    <x v="2"/>
    <x v="1"/>
    <n v="30"/>
    <n v="60"/>
  </r>
  <r>
    <n v="982"/>
    <d v="2023-12-19T00:00:00"/>
    <s v="CUST982"/>
    <s v="Female"/>
    <n v="46"/>
    <x v="0"/>
    <x v="0"/>
    <n v="30"/>
    <n v="90"/>
  </r>
  <r>
    <n v="983"/>
    <d v="2023-11-01T00:00:00"/>
    <s v="CUST983"/>
    <s v="Female"/>
    <n v="29"/>
    <x v="1"/>
    <x v="2"/>
    <n v="300"/>
    <n v="300"/>
  </r>
  <r>
    <n v="984"/>
    <d v="2023-08-29T00:00:00"/>
    <s v="CUST984"/>
    <s v="Male"/>
    <n v="56"/>
    <x v="1"/>
    <x v="2"/>
    <n v="500"/>
    <n v="500"/>
  </r>
  <r>
    <n v="985"/>
    <d v="2023-05-30T00:00:00"/>
    <s v="CUST985"/>
    <s v="Female"/>
    <n v="19"/>
    <x v="2"/>
    <x v="1"/>
    <n v="25"/>
    <n v="50"/>
  </r>
  <r>
    <n v="986"/>
    <d v="2023-01-17T00:00:00"/>
    <s v="CUST986"/>
    <s v="Female"/>
    <n v="49"/>
    <x v="1"/>
    <x v="1"/>
    <n v="500"/>
    <n v="1000"/>
  </r>
  <r>
    <n v="987"/>
    <d v="2023-04-29T00:00:00"/>
    <s v="CUST987"/>
    <s v="Female"/>
    <n v="30"/>
    <x v="1"/>
    <x v="0"/>
    <n v="300"/>
    <n v="900"/>
  </r>
  <r>
    <n v="988"/>
    <d v="2023-05-28T00:00:00"/>
    <s v="CUST988"/>
    <s v="Female"/>
    <n v="63"/>
    <x v="1"/>
    <x v="0"/>
    <n v="25"/>
    <n v="75"/>
  </r>
  <r>
    <n v="989"/>
    <d v="2023-12-28T00:00:00"/>
    <s v="CUST989"/>
    <s v="Female"/>
    <n v="44"/>
    <x v="2"/>
    <x v="2"/>
    <n v="25"/>
    <n v="25"/>
  </r>
  <r>
    <n v="990"/>
    <d v="2023-05-25T00:00:00"/>
    <s v="CUST990"/>
    <s v="Female"/>
    <n v="58"/>
    <x v="0"/>
    <x v="1"/>
    <n v="500"/>
    <n v="1000"/>
  </r>
  <r>
    <n v="991"/>
    <d v="2023-12-26T00:00:00"/>
    <s v="CUST991"/>
    <s v="Female"/>
    <n v="34"/>
    <x v="1"/>
    <x v="1"/>
    <n v="50"/>
    <n v="100"/>
  </r>
  <r>
    <n v="992"/>
    <d v="2023-08-21T00:00:00"/>
    <s v="CUST992"/>
    <s v="Female"/>
    <n v="57"/>
    <x v="2"/>
    <x v="1"/>
    <n v="30"/>
    <n v="60"/>
  </r>
  <r>
    <n v="993"/>
    <d v="2023-02-06T00:00:00"/>
    <s v="CUST993"/>
    <s v="Female"/>
    <n v="48"/>
    <x v="2"/>
    <x v="0"/>
    <n v="50"/>
    <n v="150"/>
  </r>
  <r>
    <n v="994"/>
    <d v="2023-12-18T00:00:00"/>
    <s v="CUST994"/>
    <s v="Female"/>
    <n v="51"/>
    <x v="0"/>
    <x v="1"/>
    <n v="500"/>
    <n v="1000"/>
  </r>
  <r>
    <n v="995"/>
    <d v="2023-04-30T00:00:00"/>
    <s v="CUST995"/>
    <s v="Female"/>
    <n v="41"/>
    <x v="1"/>
    <x v="2"/>
    <n v="30"/>
    <n v="30"/>
  </r>
  <r>
    <n v="996"/>
    <d v="2023-05-16T00:00:00"/>
    <s v="CUST996"/>
    <s v="Male"/>
    <n v="62"/>
    <x v="1"/>
    <x v="2"/>
    <n v="50"/>
    <n v="50"/>
  </r>
  <r>
    <n v="997"/>
    <d v="2023-11-17T00:00:00"/>
    <s v="CUST997"/>
    <s v="Male"/>
    <n v="52"/>
    <x v="0"/>
    <x v="0"/>
    <n v="30"/>
    <n v="90"/>
  </r>
  <r>
    <n v="998"/>
    <d v="2023-10-29T00:00:00"/>
    <s v="CUST998"/>
    <s v="Female"/>
    <n v="23"/>
    <x v="0"/>
    <x v="3"/>
    <n v="25"/>
    <n v="100"/>
  </r>
  <r>
    <n v="999"/>
    <d v="2023-12-05T00:00:00"/>
    <s v="CUST999"/>
    <s v="Female"/>
    <n v="36"/>
    <x v="2"/>
    <x v="0"/>
    <n v="50"/>
    <n v="150"/>
  </r>
  <r>
    <n v="1000"/>
    <d v="2023-04-12T00:00:00"/>
    <s v="CUST1000"/>
    <s v="Male"/>
    <n v="47"/>
    <x v="2"/>
    <x v="3"/>
    <n v="30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x v="0"/>
    <s v="CUST001"/>
    <s v="Male"/>
    <n v="34"/>
    <s v="Beauty"/>
    <n v="3"/>
    <n v="50"/>
    <n v="150"/>
    <x v="0"/>
  </r>
  <r>
    <n v="2"/>
    <x v="1"/>
    <s v="CUST002"/>
    <s v="Female"/>
    <n v="26"/>
    <s v="Clothing"/>
    <n v="2"/>
    <n v="500"/>
    <n v="1000"/>
    <x v="1"/>
  </r>
  <r>
    <n v="3"/>
    <x v="2"/>
    <s v="CUST003"/>
    <s v="Male"/>
    <n v="50"/>
    <s v="Electronics"/>
    <n v="1"/>
    <n v="30"/>
    <n v="30"/>
    <x v="2"/>
  </r>
  <r>
    <n v="4"/>
    <x v="3"/>
    <s v="CUST004"/>
    <s v="Male"/>
    <n v="37"/>
    <s v="Clothing"/>
    <n v="1"/>
    <n v="500"/>
    <n v="500"/>
    <x v="3"/>
  </r>
  <r>
    <n v="5"/>
    <x v="4"/>
    <s v="CUST005"/>
    <s v="Male"/>
    <n v="30"/>
    <s v="Beauty"/>
    <n v="2"/>
    <n v="50"/>
    <n v="100"/>
    <x v="4"/>
  </r>
  <r>
    <n v="6"/>
    <x v="5"/>
    <s v="CUST006"/>
    <s v="Female"/>
    <n v="45"/>
    <s v="Beauty"/>
    <n v="1"/>
    <n v="30"/>
    <n v="30"/>
    <x v="5"/>
  </r>
  <r>
    <n v="7"/>
    <x v="6"/>
    <s v="CUST007"/>
    <s v="Male"/>
    <n v="46"/>
    <s v="Clothing"/>
    <n v="2"/>
    <n v="25"/>
    <n v="50"/>
    <x v="6"/>
  </r>
  <r>
    <n v="8"/>
    <x v="7"/>
    <s v="CUST008"/>
    <s v="Male"/>
    <n v="30"/>
    <s v="Electronics"/>
    <n v="4"/>
    <n v="25"/>
    <n v="100"/>
    <x v="7"/>
  </r>
  <r>
    <n v="9"/>
    <x v="8"/>
    <s v="CUST009"/>
    <s v="Male"/>
    <n v="63"/>
    <s v="Electronics"/>
    <n v="2"/>
    <n v="300"/>
    <n v="600"/>
    <x v="8"/>
  </r>
  <r>
    <n v="10"/>
    <x v="9"/>
    <s v="CUST010"/>
    <s v="Female"/>
    <n v="52"/>
    <s v="Clothing"/>
    <n v="4"/>
    <n v="50"/>
    <n v="200"/>
    <x v="9"/>
  </r>
  <r>
    <n v="11"/>
    <x v="10"/>
    <s v="CUST011"/>
    <s v="Male"/>
    <n v="23"/>
    <s v="Clothing"/>
    <n v="2"/>
    <n v="50"/>
    <n v="100"/>
    <x v="10"/>
  </r>
  <r>
    <n v="12"/>
    <x v="11"/>
    <s v="CUST012"/>
    <s v="Male"/>
    <n v="35"/>
    <s v="Beauty"/>
    <n v="3"/>
    <n v="25"/>
    <n v="75"/>
    <x v="11"/>
  </r>
  <r>
    <n v="13"/>
    <x v="12"/>
    <s v="CUST013"/>
    <s v="Male"/>
    <n v="22"/>
    <s v="Electronics"/>
    <n v="3"/>
    <n v="500"/>
    <n v="1500"/>
    <x v="12"/>
  </r>
  <r>
    <n v="14"/>
    <x v="13"/>
    <s v="CUST014"/>
    <s v="Male"/>
    <n v="64"/>
    <s v="Clothing"/>
    <n v="4"/>
    <n v="30"/>
    <n v="120"/>
    <x v="13"/>
  </r>
  <r>
    <n v="15"/>
    <x v="14"/>
    <s v="CUST015"/>
    <s v="Female"/>
    <n v="42"/>
    <s v="Electronics"/>
    <n v="4"/>
    <n v="500"/>
    <n v="2000"/>
    <x v="14"/>
  </r>
  <r>
    <n v="16"/>
    <x v="15"/>
    <s v="CUST016"/>
    <s v="Male"/>
    <n v="19"/>
    <s v="Clothing"/>
    <n v="3"/>
    <n v="500"/>
    <n v="1500"/>
    <x v="15"/>
  </r>
  <r>
    <n v="17"/>
    <x v="16"/>
    <s v="CUST017"/>
    <s v="Female"/>
    <n v="27"/>
    <s v="Clothing"/>
    <n v="4"/>
    <n v="25"/>
    <n v="100"/>
    <x v="16"/>
  </r>
  <r>
    <n v="18"/>
    <x v="17"/>
    <s v="CUST018"/>
    <s v="Female"/>
    <n v="47"/>
    <s v="Electronics"/>
    <n v="2"/>
    <n v="25"/>
    <n v="50"/>
    <x v="17"/>
  </r>
  <r>
    <n v="19"/>
    <x v="18"/>
    <s v="CUST019"/>
    <s v="Female"/>
    <n v="62"/>
    <s v="Clothing"/>
    <n v="2"/>
    <n v="25"/>
    <n v="50"/>
    <x v="18"/>
  </r>
  <r>
    <n v="20"/>
    <x v="19"/>
    <s v="CUST020"/>
    <s v="Male"/>
    <n v="22"/>
    <s v="Clothing"/>
    <n v="3"/>
    <n v="300"/>
    <n v="900"/>
    <x v="19"/>
  </r>
  <r>
    <n v="21"/>
    <x v="20"/>
    <s v="CUST021"/>
    <s v="Female"/>
    <n v="50"/>
    <s v="Beauty"/>
    <n v="1"/>
    <n v="500"/>
    <n v="500"/>
    <x v="20"/>
  </r>
  <r>
    <n v="22"/>
    <x v="21"/>
    <s v="CUST022"/>
    <s v="Male"/>
    <n v="18"/>
    <s v="Clothing"/>
    <n v="2"/>
    <n v="50"/>
    <n v="100"/>
    <x v="21"/>
  </r>
  <r>
    <n v="23"/>
    <x v="22"/>
    <s v="CUST023"/>
    <s v="Female"/>
    <n v="35"/>
    <s v="Clothing"/>
    <n v="4"/>
    <n v="30"/>
    <n v="120"/>
    <x v="22"/>
  </r>
  <r>
    <n v="24"/>
    <x v="23"/>
    <s v="CUST024"/>
    <s v="Female"/>
    <n v="49"/>
    <s v="Clothing"/>
    <n v="1"/>
    <n v="300"/>
    <n v="300"/>
    <x v="23"/>
  </r>
  <r>
    <n v="25"/>
    <x v="24"/>
    <s v="CUST025"/>
    <s v="Female"/>
    <n v="64"/>
    <s v="Beauty"/>
    <n v="1"/>
    <n v="50"/>
    <n v="50"/>
    <x v="24"/>
  </r>
  <r>
    <n v="26"/>
    <x v="9"/>
    <s v="CUST026"/>
    <s v="Female"/>
    <n v="28"/>
    <s v="Electronics"/>
    <n v="2"/>
    <n v="500"/>
    <n v="1000"/>
    <x v="9"/>
  </r>
  <r>
    <n v="27"/>
    <x v="25"/>
    <s v="CUST027"/>
    <s v="Female"/>
    <n v="38"/>
    <s v="Beauty"/>
    <n v="2"/>
    <n v="25"/>
    <n v="50"/>
    <x v="25"/>
  </r>
  <r>
    <n v="28"/>
    <x v="26"/>
    <s v="CUST028"/>
    <s v="Female"/>
    <n v="43"/>
    <s v="Beauty"/>
    <n v="1"/>
    <n v="500"/>
    <n v="500"/>
    <x v="26"/>
  </r>
  <r>
    <n v="29"/>
    <x v="27"/>
    <s v="CUST029"/>
    <s v="Female"/>
    <n v="42"/>
    <s v="Electronics"/>
    <n v="1"/>
    <n v="30"/>
    <n v="30"/>
    <x v="27"/>
  </r>
  <r>
    <n v="30"/>
    <x v="28"/>
    <s v="CUST030"/>
    <s v="Female"/>
    <n v="39"/>
    <s v="Beauty"/>
    <n v="3"/>
    <n v="300"/>
    <n v="900"/>
    <x v="28"/>
  </r>
  <r>
    <n v="31"/>
    <x v="29"/>
    <s v="CUST031"/>
    <s v="Male"/>
    <n v="44"/>
    <s v="Electronics"/>
    <n v="4"/>
    <n v="300"/>
    <n v="1200"/>
    <x v="29"/>
  </r>
  <r>
    <n v="32"/>
    <x v="30"/>
    <s v="CUST032"/>
    <s v="Male"/>
    <n v="30"/>
    <s v="Beauty"/>
    <n v="3"/>
    <n v="30"/>
    <n v="90"/>
    <x v="30"/>
  </r>
  <r>
    <n v="33"/>
    <x v="31"/>
    <s v="CUST033"/>
    <s v="Female"/>
    <n v="50"/>
    <s v="Electronics"/>
    <n v="2"/>
    <n v="50"/>
    <n v="100"/>
    <x v="31"/>
  </r>
  <r>
    <n v="34"/>
    <x v="32"/>
    <s v="CUST034"/>
    <s v="Female"/>
    <n v="51"/>
    <s v="Clothing"/>
    <n v="3"/>
    <n v="50"/>
    <n v="150"/>
    <x v="32"/>
  </r>
  <r>
    <n v="35"/>
    <x v="12"/>
    <s v="CUST035"/>
    <s v="Female"/>
    <n v="58"/>
    <s v="Beauty"/>
    <n v="3"/>
    <n v="300"/>
    <n v="900"/>
    <x v="12"/>
  </r>
  <r>
    <n v="36"/>
    <x v="33"/>
    <s v="CUST036"/>
    <s v="Male"/>
    <n v="52"/>
    <s v="Beauty"/>
    <n v="3"/>
    <n v="300"/>
    <n v="900"/>
    <x v="33"/>
  </r>
  <r>
    <n v="37"/>
    <x v="29"/>
    <s v="CUST037"/>
    <s v="Female"/>
    <n v="18"/>
    <s v="Beauty"/>
    <n v="3"/>
    <n v="25"/>
    <n v="75"/>
    <x v="29"/>
  </r>
  <r>
    <n v="38"/>
    <x v="34"/>
    <s v="CUST038"/>
    <s v="Male"/>
    <n v="38"/>
    <s v="Beauty"/>
    <n v="4"/>
    <n v="50"/>
    <n v="200"/>
    <x v="34"/>
  </r>
  <r>
    <n v="39"/>
    <x v="35"/>
    <s v="CUST039"/>
    <s v="Male"/>
    <n v="23"/>
    <s v="Clothing"/>
    <n v="4"/>
    <n v="30"/>
    <n v="120"/>
    <x v="35"/>
  </r>
  <r>
    <n v="40"/>
    <x v="36"/>
    <s v="CUST040"/>
    <s v="Male"/>
    <n v="45"/>
    <s v="Beauty"/>
    <n v="1"/>
    <n v="50"/>
    <n v="50"/>
    <x v="36"/>
  </r>
  <r>
    <n v="41"/>
    <x v="7"/>
    <s v="CUST041"/>
    <s v="Male"/>
    <n v="34"/>
    <s v="Clothing"/>
    <n v="2"/>
    <n v="25"/>
    <n v="50"/>
    <x v="7"/>
  </r>
  <r>
    <n v="42"/>
    <x v="15"/>
    <s v="CUST042"/>
    <s v="Male"/>
    <n v="22"/>
    <s v="Clothing"/>
    <n v="3"/>
    <n v="300"/>
    <n v="900"/>
    <x v="15"/>
  </r>
  <r>
    <n v="43"/>
    <x v="37"/>
    <s v="CUST043"/>
    <s v="Female"/>
    <n v="48"/>
    <s v="Clothing"/>
    <n v="1"/>
    <n v="300"/>
    <n v="300"/>
    <x v="37"/>
  </r>
  <r>
    <n v="44"/>
    <x v="38"/>
    <s v="CUST044"/>
    <s v="Female"/>
    <n v="22"/>
    <s v="Clothing"/>
    <n v="1"/>
    <n v="25"/>
    <n v="25"/>
    <x v="38"/>
  </r>
  <r>
    <n v="45"/>
    <x v="39"/>
    <s v="CUST045"/>
    <s v="Female"/>
    <n v="55"/>
    <s v="Electronics"/>
    <n v="1"/>
    <n v="30"/>
    <n v="30"/>
    <x v="39"/>
  </r>
  <r>
    <n v="46"/>
    <x v="40"/>
    <s v="CUST046"/>
    <s v="Female"/>
    <n v="20"/>
    <s v="Electronics"/>
    <n v="4"/>
    <n v="300"/>
    <n v="1200"/>
    <x v="40"/>
  </r>
  <r>
    <n v="47"/>
    <x v="41"/>
    <s v="CUST047"/>
    <s v="Female"/>
    <n v="40"/>
    <s v="Beauty"/>
    <n v="3"/>
    <n v="500"/>
    <n v="1500"/>
    <x v="41"/>
  </r>
  <r>
    <n v="48"/>
    <x v="42"/>
    <s v="CUST048"/>
    <s v="Male"/>
    <n v="54"/>
    <s v="Electronics"/>
    <n v="3"/>
    <n v="300"/>
    <n v="900"/>
    <x v="42"/>
  </r>
  <r>
    <n v="49"/>
    <x v="43"/>
    <s v="CUST049"/>
    <s v="Female"/>
    <n v="54"/>
    <s v="Electronics"/>
    <n v="2"/>
    <n v="500"/>
    <n v="1000"/>
    <x v="43"/>
  </r>
  <r>
    <n v="50"/>
    <x v="44"/>
    <s v="CUST050"/>
    <s v="Female"/>
    <n v="27"/>
    <s v="Beauty"/>
    <n v="3"/>
    <n v="25"/>
    <n v="75"/>
    <x v="44"/>
  </r>
  <r>
    <n v="51"/>
    <x v="45"/>
    <s v="CUST051"/>
    <s v="Male"/>
    <n v="27"/>
    <s v="Beauty"/>
    <n v="3"/>
    <n v="25"/>
    <n v="75"/>
    <x v="45"/>
  </r>
  <r>
    <n v="52"/>
    <x v="46"/>
    <s v="CUST052"/>
    <s v="Female"/>
    <n v="36"/>
    <s v="Beauty"/>
    <n v="1"/>
    <n v="300"/>
    <n v="300"/>
    <x v="46"/>
  </r>
  <r>
    <n v="53"/>
    <x v="47"/>
    <s v="CUST053"/>
    <s v="Male"/>
    <n v="34"/>
    <s v="Electronics"/>
    <n v="2"/>
    <n v="50"/>
    <n v="100"/>
    <x v="47"/>
  </r>
  <r>
    <n v="54"/>
    <x v="48"/>
    <s v="CUST054"/>
    <s v="Female"/>
    <n v="38"/>
    <s v="Electronics"/>
    <n v="3"/>
    <n v="500"/>
    <n v="1500"/>
    <x v="48"/>
  </r>
  <r>
    <n v="55"/>
    <x v="49"/>
    <s v="CUST055"/>
    <s v="Male"/>
    <n v="31"/>
    <s v="Beauty"/>
    <n v="4"/>
    <n v="30"/>
    <n v="120"/>
    <x v="49"/>
  </r>
  <r>
    <n v="56"/>
    <x v="50"/>
    <s v="CUST056"/>
    <s v="Female"/>
    <n v="26"/>
    <s v="Clothing"/>
    <n v="3"/>
    <n v="300"/>
    <n v="900"/>
    <x v="50"/>
  </r>
  <r>
    <n v="57"/>
    <x v="51"/>
    <s v="CUST057"/>
    <s v="Female"/>
    <n v="63"/>
    <s v="Beauty"/>
    <n v="1"/>
    <n v="30"/>
    <n v="30"/>
    <x v="51"/>
  </r>
  <r>
    <n v="58"/>
    <x v="52"/>
    <s v="CUST058"/>
    <s v="Male"/>
    <n v="18"/>
    <s v="Clothing"/>
    <n v="4"/>
    <n v="300"/>
    <n v="1200"/>
    <x v="52"/>
  </r>
  <r>
    <n v="59"/>
    <x v="53"/>
    <s v="CUST059"/>
    <s v="Male"/>
    <n v="62"/>
    <s v="Clothing"/>
    <n v="1"/>
    <n v="50"/>
    <n v="50"/>
    <x v="53"/>
  </r>
  <r>
    <n v="60"/>
    <x v="54"/>
    <s v="CUST060"/>
    <s v="Male"/>
    <n v="30"/>
    <s v="Beauty"/>
    <n v="3"/>
    <n v="50"/>
    <n v="150"/>
    <x v="54"/>
  </r>
  <r>
    <n v="61"/>
    <x v="55"/>
    <s v="CUST061"/>
    <s v="Male"/>
    <n v="21"/>
    <s v="Beauty"/>
    <n v="4"/>
    <n v="50"/>
    <n v="200"/>
    <x v="55"/>
  </r>
  <r>
    <n v="62"/>
    <x v="56"/>
    <s v="CUST062"/>
    <s v="Male"/>
    <n v="18"/>
    <s v="Beauty"/>
    <n v="2"/>
    <n v="50"/>
    <n v="100"/>
    <x v="56"/>
  </r>
  <r>
    <n v="63"/>
    <x v="57"/>
    <s v="CUST063"/>
    <s v="Male"/>
    <n v="57"/>
    <s v="Electronics"/>
    <n v="2"/>
    <n v="25"/>
    <n v="50"/>
    <x v="57"/>
  </r>
  <r>
    <n v="64"/>
    <x v="58"/>
    <s v="CUST064"/>
    <s v="Male"/>
    <n v="49"/>
    <s v="Clothing"/>
    <n v="4"/>
    <n v="25"/>
    <n v="100"/>
    <x v="58"/>
  </r>
  <r>
    <n v="65"/>
    <x v="59"/>
    <s v="CUST065"/>
    <s v="Male"/>
    <n v="51"/>
    <s v="Electronics"/>
    <n v="4"/>
    <n v="500"/>
    <n v="2000"/>
    <x v="59"/>
  </r>
  <r>
    <n v="66"/>
    <x v="60"/>
    <s v="CUST066"/>
    <s v="Female"/>
    <n v="45"/>
    <s v="Electronics"/>
    <n v="1"/>
    <n v="30"/>
    <n v="30"/>
    <x v="60"/>
  </r>
  <r>
    <n v="67"/>
    <x v="61"/>
    <s v="CUST067"/>
    <s v="Female"/>
    <n v="48"/>
    <s v="Beauty"/>
    <n v="4"/>
    <n v="300"/>
    <n v="1200"/>
    <x v="61"/>
  </r>
  <r>
    <n v="68"/>
    <x v="48"/>
    <s v="CUST068"/>
    <s v="Male"/>
    <n v="25"/>
    <s v="Electronics"/>
    <n v="1"/>
    <n v="300"/>
    <n v="300"/>
    <x v="48"/>
  </r>
  <r>
    <n v="69"/>
    <x v="17"/>
    <s v="CUST069"/>
    <s v="Female"/>
    <n v="56"/>
    <s v="Beauty"/>
    <n v="3"/>
    <n v="25"/>
    <n v="75"/>
    <x v="17"/>
  </r>
  <r>
    <n v="70"/>
    <x v="62"/>
    <s v="CUST070"/>
    <s v="Female"/>
    <n v="43"/>
    <s v="Clothing"/>
    <n v="1"/>
    <n v="300"/>
    <n v="300"/>
    <x v="62"/>
  </r>
  <r>
    <n v="71"/>
    <x v="37"/>
    <s v="CUST071"/>
    <s v="Female"/>
    <n v="51"/>
    <s v="Beauty"/>
    <n v="4"/>
    <n v="25"/>
    <n v="100"/>
    <x v="37"/>
  </r>
  <r>
    <n v="72"/>
    <x v="29"/>
    <s v="CUST072"/>
    <s v="Female"/>
    <n v="20"/>
    <s v="Electronics"/>
    <n v="4"/>
    <n v="500"/>
    <n v="2000"/>
    <x v="29"/>
  </r>
  <r>
    <n v="73"/>
    <x v="63"/>
    <s v="CUST073"/>
    <s v="Male"/>
    <n v="29"/>
    <s v="Electronics"/>
    <n v="3"/>
    <n v="30"/>
    <n v="90"/>
    <x v="63"/>
  </r>
  <r>
    <n v="74"/>
    <x v="64"/>
    <s v="CUST074"/>
    <s v="Female"/>
    <n v="18"/>
    <s v="Beauty"/>
    <n v="4"/>
    <n v="500"/>
    <n v="2000"/>
    <x v="64"/>
  </r>
  <r>
    <n v="75"/>
    <x v="65"/>
    <s v="CUST075"/>
    <s v="Male"/>
    <n v="61"/>
    <s v="Beauty"/>
    <n v="4"/>
    <n v="50"/>
    <n v="200"/>
    <x v="65"/>
  </r>
  <r>
    <n v="76"/>
    <x v="66"/>
    <s v="CUST076"/>
    <s v="Female"/>
    <n v="22"/>
    <s v="Electronics"/>
    <n v="2"/>
    <n v="50"/>
    <n v="100"/>
    <x v="66"/>
  </r>
  <r>
    <n v="77"/>
    <x v="67"/>
    <s v="CUST077"/>
    <s v="Female"/>
    <n v="47"/>
    <s v="Clothing"/>
    <n v="2"/>
    <n v="50"/>
    <n v="100"/>
    <x v="67"/>
  </r>
  <r>
    <n v="78"/>
    <x v="68"/>
    <s v="CUST078"/>
    <s v="Female"/>
    <n v="47"/>
    <s v="Clothing"/>
    <n v="3"/>
    <n v="500"/>
    <n v="1500"/>
    <x v="68"/>
  </r>
  <r>
    <n v="79"/>
    <x v="69"/>
    <s v="CUST079"/>
    <s v="Male"/>
    <n v="34"/>
    <s v="Beauty"/>
    <n v="1"/>
    <n v="300"/>
    <n v="300"/>
    <x v="69"/>
  </r>
  <r>
    <n v="80"/>
    <x v="70"/>
    <s v="CUST080"/>
    <s v="Female"/>
    <n v="64"/>
    <s v="Clothing"/>
    <n v="2"/>
    <n v="30"/>
    <n v="60"/>
    <x v="70"/>
  </r>
  <r>
    <n v="81"/>
    <x v="71"/>
    <s v="CUST081"/>
    <s v="Male"/>
    <n v="40"/>
    <s v="Electronics"/>
    <n v="1"/>
    <n v="50"/>
    <n v="50"/>
    <x v="71"/>
  </r>
  <r>
    <n v="82"/>
    <x v="24"/>
    <s v="CUST082"/>
    <s v="Female"/>
    <n v="32"/>
    <s v="Beauty"/>
    <n v="4"/>
    <n v="50"/>
    <n v="200"/>
    <x v="24"/>
  </r>
  <r>
    <n v="83"/>
    <x v="72"/>
    <s v="CUST083"/>
    <s v="Male"/>
    <n v="54"/>
    <s v="Electronics"/>
    <n v="2"/>
    <n v="50"/>
    <n v="100"/>
    <x v="72"/>
  </r>
  <r>
    <n v="84"/>
    <x v="73"/>
    <s v="CUST084"/>
    <s v="Female"/>
    <n v="38"/>
    <s v="Electronics"/>
    <n v="3"/>
    <n v="30"/>
    <n v="90"/>
    <x v="73"/>
  </r>
  <r>
    <n v="85"/>
    <x v="74"/>
    <s v="CUST085"/>
    <s v="Male"/>
    <n v="31"/>
    <s v="Clothing"/>
    <n v="3"/>
    <n v="50"/>
    <n v="150"/>
    <x v="74"/>
  </r>
  <r>
    <n v="86"/>
    <x v="75"/>
    <s v="CUST086"/>
    <s v="Male"/>
    <n v="19"/>
    <s v="Beauty"/>
    <n v="3"/>
    <n v="30"/>
    <n v="90"/>
    <x v="75"/>
  </r>
  <r>
    <n v="87"/>
    <x v="64"/>
    <s v="CUST087"/>
    <s v="Female"/>
    <n v="28"/>
    <s v="Beauty"/>
    <n v="2"/>
    <n v="50"/>
    <n v="100"/>
    <x v="64"/>
  </r>
  <r>
    <n v="88"/>
    <x v="76"/>
    <s v="CUST088"/>
    <s v="Male"/>
    <n v="56"/>
    <s v="Clothing"/>
    <n v="1"/>
    <n v="500"/>
    <n v="500"/>
    <x v="76"/>
  </r>
  <r>
    <n v="89"/>
    <x v="77"/>
    <s v="CUST089"/>
    <s v="Female"/>
    <n v="55"/>
    <s v="Electronics"/>
    <n v="4"/>
    <n v="500"/>
    <n v="2000"/>
    <x v="77"/>
  </r>
  <r>
    <n v="90"/>
    <x v="4"/>
    <s v="CUST090"/>
    <s v="Female"/>
    <n v="51"/>
    <s v="Electronics"/>
    <n v="1"/>
    <n v="30"/>
    <n v="30"/>
    <x v="4"/>
  </r>
  <r>
    <n v="91"/>
    <x v="66"/>
    <s v="CUST091"/>
    <s v="Female"/>
    <n v="55"/>
    <s v="Electronics"/>
    <n v="1"/>
    <n v="500"/>
    <n v="500"/>
    <x v="66"/>
  </r>
  <r>
    <n v="92"/>
    <x v="78"/>
    <s v="CUST092"/>
    <s v="Female"/>
    <n v="51"/>
    <s v="Electronics"/>
    <n v="4"/>
    <n v="30"/>
    <n v="120"/>
    <x v="78"/>
  </r>
  <r>
    <n v="93"/>
    <x v="37"/>
    <s v="CUST093"/>
    <s v="Female"/>
    <n v="35"/>
    <s v="Beauty"/>
    <n v="4"/>
    <n v="500"/>
    <n v="2000"/>
    <x v="37"/>
  </r>
  <r>
    <n v="94"/>
    <x v="79"/>
    <s v="CUST094"/>
    <s v="Female"/>
    <n v="47"/>
    <s v="Beauty"/>
    <n v="2"/>
    <n v="500"/>
    <n v="1000"/>
    <x v="79"/>
  </r>
  <r>
    <n v="95"/>
    <x v="0"/>
    <s v="CUST095"/>
    <s v="Female"/>
    <n v="32"/>
    <s v="Clothing"/>
    <n v="2"/>
    <n v="30"/>
    <n v="60"/>
    <x v="0"/>
  </r>
  <r>
    <n v="96"/>
    <x v="80"/>
    <s v="CUST096"/>
    <s v="Female"/>
    <n v="44"/>
    <s v="Clothing"/>
    <n v="2"/>
    <n v="300"/>
    <n v="600"/>
    <x v="80"/>
  </r>
  <r>
    <n v="97"/>
    <x v="81"/>
    <s v="CUST097"/>
    <s v="Female"/>
    <n v="51"/>
    <s v="Beauty"/>
    <n v="2"/>
    <n v="500"/>
    <n v="1000"/>
    <x v="81"/>
  </r>
  <r>
    <n v="98"/>
    <x v="26"/>
    <s v="CUST098"/>
    <s v="Female"/>
    <n v="55"/>
    <s v="Beauty"/>
    <n v="2"/>
    <n v="50"/>
    <n v="100"/>
    <x v="26"/>
  </r>
  <r>
    <n v="99"/>
    <x v="82"/>
    <s v="CUST099"/>
    <s v="Female"/>
    <n v="50"/>
    <s v="Electronics"/>
    <n v="4"/>
    <n v="300"/>
    <n v="1200"/>
    <x v="82"/>
  </r>
  <r>
    <n v="100"/>
    <x v="83"/>
    <s v="CUST100"/>
    <s v="Male"/>
    <n v="41"/>
    <s v="Electronics"/>
    <n v="1"/>
    <n v="30"/>
    <n v="30"/>
    <x v="83"/>
  </r>
  <r>
    <n v="101"/>
    <x v="84"/>
    <s v="CUST101"/>
    <s v="Male"/>
    <n v="32"/>
    <s v="Clothing"/>
    <n v="2"/>
    <n v="300"/>
    <n v="600"/>
    <x v="84"/>
  </r>
  <r>
    <n v="102"/>
    <x v="85"/>
    <s v="CUST102"/>
    <s v="Female"/>
    <n v="47"/>
    <s v="Beauty"/>
    <n v="2"/>
    <n v="25"/>
    <n v="50"/>
    <x v="85"/>
  </r>
  <r>
    <n v="103"/>
    <x v="13"/>
    <s v="CUST103"/>
    <s v="Female"/>
    <n v="59"/>
    <s v="Clothing"/>
    <n v="1"/>
    <n v="25"/>
    <n v="25"/>
    <x v="13"/>
  </r>
  <r>
    <n v="104"/>
    <x v="86"/>
    <s v="CUST104"/>
    <s v="Female"/>
    <n v="34"/>
    <s v="Beauty"/>
    <n v="2"/>
    <n v="500"/>
    <n v="1000"/>
    <x v="86"/>
  </r>
  <r>
    <n v="105"/>
    <x v="87"/>
    <s v="CUST105"/>
    <s v="Female"/>
    <n v="22"/>
    <s v="Electronics"/>
    <n v="1"/>
    <n v="500"/>
    <n v="500"/>
    <x v="87"/>
  </r>
  <r>
    <n v="106"/>
    <x v="88"/>
    <s v="CUST106"/>
    <s v="Female"/>
    <n v="46"/>
    <s v="Clothing"/>
    <n v="1"/>
    <n v="50"/>
    <n v="50"/>
    <x v="88"/>
  </r>
  <r>
    <n v="107"/>
    <x v="89"/>
    <s v="CUST107"/>
    <s v="Female"/>
    <n v="21"/>
    <s v="Clothing"/>
    <n v="4"/>
    <n v="300"/>
    <n v="1200"/>
    <x v="89"/>
  </r>
  <r>
    <n v="108"/>
    <x v="90"/>
    <s v="CUST108"/>
    <s v="Female"/>
    <n v="27"/>
    <s v="Beauty"/>
    <n v="3"/>
    <n v="25"/>
    <n v="75"/>
    <x v="90"/>
  </r>
  <r>
    <n v="109"/>
    <x v="91"/>
    <s v="CUST109"/>
    <s v="Female"/>
    <n v="34"/>
    <s v="Electronics"/>
    <n v="4"/>
    <n v="500"/>
    <n v="2000"/>
    <x v="91"/>
  </r>
  <r>
    <n v="110"/>
    <x v="86"/>
    <s v="CUST110"/>
    <s v="Male"/>
    <n v="27"/>
    <s v="Clothing"/>
    <n v="3"/>
    <n v="300"/>
    <n v="900"/>
    <x v="86"/>
  </r>
  <r>
    <n v="111"/>
    <x v="90"/>
    <s v="CUST111"/>
    <s v="Female"/>
    <n v="34"/>
    <s v="Electronics"/>
    <n v="3"/>
    <n v="500"/>
    <n v="1500"/>
    <x v="90"/>
  </r>
  <r>
    <n v="112"/>
    <x v="92"/>
    <s v="CUST112"/>
    <s v="Male"/>
    <n v="37"/>
    <s v="Clothing"/>
    <n v="3"/>
    <n v="500"/>
    <n v="1500"/>
    <x v="92"/>
  </r>
  <r>
    <n v="113"/>
    <x v="93"/>
    <s v="CUST113"/>
    <s v="Female"/>
    <n v="41"/>
    <s v="Electronics"/>
    <n v="2"/>
    <n v="25"/>
    <n v="50"/>
    <x v="93"/>
  </r>
  <r>
    <n v="114"/>
    <x v="94"/>
    <s v="CUST114"/>
    <s v="Female"/>
    <n v="22"/>
    <s v="Beauty"/>
    <n v="4"/>
    <n v="25"/>
    <n v="100"/>
    <x v="94"/>
  </r>
  <r>
    <n v="115"/>
    <x v="95"/>
    <s v="CUST115"/>
    <s v="Male"/>
    <n v="51"/>
    <s v="Clothing"/>
    <n v="3"/>
    <n v="500"/>
    <n v="1500"/>
    <x v="95"/>
  </r>
  <r>
    <n v="116"/>
    <x v="96"/>
    <s v="CUST116"/>
    <s v="Female"/>
    <n v="23"/>
    <s v="Clothing"/>
    <n v="1"/>
    <n v="30"/>
    <n v="30"/>
    <x v="96"/>
  </r>
  <r>
    <n v="117"/>
    <x v="97"/>
    <s v="CUST117"/>
    <s v="Male"/>
    <n v="19"/>
    <s v="Electronics"/>
    <n v="2"/>
    <n v="500"/>
    <n v="1000"/>
    <x v="97"/>
  </r>
  <r>
    <n v="118"/>
    <x v="42"/>
    <s v="CUST118"/>
    <s v="Female"/>
    <n v="30"/>
    <s v="Electronics"/>
    <n v="4"/>
    <n v="500"/>
    <n v="2000"/>
    <x v="42"/>
  </r>
  <r>
    <n v="119"/>
    <x v="6"/>
    <s v="CUST119"/>
    <s v="Female"/>
    <n v="60"/>
    <s v="Clothing"/>
    <n v="3"/>
    <n v="50"/>
    <n v="150"/>
    <x v="6"/>
  </r>
  <r>
    <n v="120"/>
    <x v="98"/>
    <s v="CUST120"/>
    <s v="Male"/>
    <n v="60"/>
    <s v="Beauty"/>
    <n v="1"/>
    <n v="50"/>
    <n v="50"/>
    <x v="98"/>
  </r>
  <r>
    <n v="121"/>
    <x v="21"/>
    <s v="CUST121"/>
    <s v="Female"/>
    <n v="28"/>
    <s v="Electronics"/>
    <n v="4"/>
    <n v="50"/>
    <n v="200"/>
    <x v="21"/>
  </r>
  <r>
    <n v="122"/>
    <x v="99"/>
    <s v="CUST122"/>
    <s v="Male"/>
    <n v="64"/>
    <s v="Electronics"/>
    <n v="4"/>
    <n v="30"/>
    <n v="120"/>
    <x v="99"/>
  </r>
  <r>
    <n v="123"/>
    <x v="100"/>
    <s v="CUST123"/>
    <s v="Female"/>
    <n v="40"/>
    <s v="Electronics"/>
    <n v="2"/>
    <n v="30"/>
    <n v="60"/>
    <x v="100"/>
  </r>
  <r>
    <n v="124"/>
    <x v="101"/>
    <s v="CUST124"/>
    <s v="Male"/>
    <n v="33"/>
    <s v="Clothing"/>
    <n v="4"/>
    <n v="500"/>
    <n v="2000"/>
    <x v="101"/>
  </r>
  <r>
    <n v="125"/>
    <x v="102"/>
    <s v="CUST125"/>
    <s v="Male"/>
    <n v="48"/>
    <s v="Clothing"/>
    <n v="2"/>
    <n v="50"/>
    <n v="100"/>
    <x v="102"/>
  </r>
  <r>
    <n v="126"/>
    <x v="103"/>
    <s v="CUST126"/>
    <s v="Female"/>
    <n v="28"/>
    <s v="Clothing"/>
    <n v="3"/>
    <n v="30"/>
    <n v="90"/>
    <x v="103"/>
  </r>
  <r>
    <n v="127"/>
    <x v="104"/>
    <s v="CUST127"/>
    <s v="Female"/>
    <n v="33"/>
    <s v="Clothing"/>
    <n v="2"/>
    <n v="25"/>
    <n v="50"/>
    <x v="104"/>
  </r>
  <r>
    <n v="128"/>
    <x v="53"/>
    <s v="CUST128"/>
    <s v="Male"/>
    <n v="25"/>
    <s v="Beauty"/>
    <n v="1"/>
    <n v="500"/>
    <n v="500"/>
    <x v="53"/>
  </r>
  <r>
    <n v="129"/>
    <x v="26"/>
    <s v="CUST129"/>
    <s v="Female"/>
    <n v="21"/>
    <s v="Beauty"/>
    <n v="2"/>
    <n v="300"/>
    <n v="600"/>
    <x v="26"/>
  </r>
  <r>
    <n v="130"/>
    <x v="105"/>
    <s v="CUST130"/>
    <s v="Female"/>
    <n v="57"/>
    <s v="Clothing"/>
    <n v="1"/>
    <n v="500"/>
    <n v="500"/>
    <x v="105"/>
  </r>
  <r>
    <n v="131"/>
    <x v="106"/>
    <s v="CUST131"/>
    <s v="Female"/>
    <n v="21"/>
    <s v="Beauty"/>
    <n v="2"/>
    <n v="300"/>
    <n v="600"/>
    <x v="106"/>
  </r>
  <r>
    <n v="132"/>
    <x v="107"/>
    <s v="CUST132"/>
    <s v="Male"/>
    <n v="42"/>
    <s v="Electronics"/>
    <n v="4"/>
    <n v="50"/>
    <n v="200"/>
    <x v="107"/>
  </r>
  <r>
    <n v="133"/>
    <x v="108"/>
    <s v="CUST133"/>
    <s v="Male"/>
    <n v="20"/>
    <s v="Electronics"/>
    <n v="3"/>
    <n v="300"/>
    <n v="900"/>
    <x v="108"/>
  </r>
  <r>
    <n v="134"/>
    <x v="109"/>
    <s v="CUST134"/>
    <s v="Male"/>
    <n v="49"/>
    <s v="Electronics"/>
    <n v="1"/>
    <n v="50"/>
    <n v="50"/>
    <x v="109"/>
  </r>
  <r>
    <n v="135"/>
    <x v="110"/>
    <s v="CUST135"/>
    <s v="Male"/>
    <n v="20"/>
    <s v="Clothing"/>
    <n v="2"/>
    <n v="25"/>
    <n v="50"/>
    <x v="110"/>
  </r>
  <r>
    <n v="136"/>
    <x v="111"/>
    <s v="CUST136"/>
    <s v="Male"/>
    <n v="44"/>
    <s v="Electronics"/>
    <n v="2"/>
    <n v="300"/>
    <n v="600"/>
    <x v="111"/>
  </r>
  <r>
    <n v="137"/>
    <x v="51"/>
    <s v="CUST137"/>
    <s v="Male"/>
    <n v="46"/>
    <s v="Beauty"/>
    <n v="2"/>
    <n v="500"/>
    <n v="1000"/>
    <x v="51"/>
  </r>
  <r>
    <n v="138"/>
    <x v="31"/>
    <s v="CUST138"/>
    <s v="Male"/>
    <n v="49"/>
    <s v="Clothing"/>
    <n v="4"/>
    <n v="50"/>
    <n v="200"/>
    <x v="31"/>
  </r>
  <r>
    <n v="139"/>
    <x v="112"/>
    <s v="CUST139"/>
    <s v="Male"/>
    <n v="36"/>
    <s v="Beauty"/>
    <n v="4"/>
    <n v="500"/>
    <n v="2000"/>
    <x v="112"/>
  </r>
  <r>
    <n v="140"/>
    <x v="12"/>
    <s v="CUST140"/>
    <s v="Male"/>
    <n v="38"/>
    <s v="Electronics"/>
    <n v="1"/>
    <n v="30"/>
    <n v="30"/>
    <x v="12"/>
  </r>
  <r>
    <n v="141"/>
    <x v="113"/>
    <s v="CUST141"/>
    <s v="Female"/>
    <n v="22"/>
    <s v="Electronics"/>
    <n v="1"/>
    <n v="50"/>
    <n v="50"/>
    <x v="113"/>
  </r>
  <r>
    <n v="142"/>
    <x v="114"/>
    <s v="CUST142"/>
    <s v="Male"/>
    <n v="35"/>
    <s v="Electronics"/>
    <n v="4"/>
    <n v="300"/>
    <n v="1200"/>
    <x v="114"/>
  </r>
  <r>
    <n v="143"/>
    <x v="115"/>
    <s v="CUST143"/>
    <s v="Female"/>
    <n v="45"/>
    <s v="Clothing"/>
    <n v="1"/>
    <n v="50"/>
    <n v="50"/>
    <x v="115"/>
  </r>
  <r>
    <n v="144"/>
    <x v="116"/>
    <s v="CUST144"/>
    <s v="Female"/>
    <n v="59"/>
    <s v="Beauty"/>
    <n v="3"/>
    <n v="500"/>
    <n v="1500"/>
    <x v="116"/>
  </r>
  <r>
    <n v="145"/>
    <x v="113"/>
    <s v="CUST145"/>
    <s v="Female"/>
    <n v="39"/>
    <s v="Clothing"/>
    <n v="3"/>
    <n v="25"/>
    <n v="75"/>
    <x v="113"/>
  </r>
  <r>
    <n v="146"/>
    <x v="117"/>
    <s v="CUST146"/>
    <s v="Male"/>
    <n v="38"/>
    <s v="Clothing"/>
    <n v="4"/>
    <n v="50"/>
    <n v="200"/>
    <x v="117"/>
  </r>
  <r>
    <n v="147"/>
    <x v="118"/>
    <s v="CUST147"/>
    <s v="Male"/>
    <n v="23"/>
    <s v="Electronics"/>
    <n v="1"/>
    <n v="300"/>
    <n v="300"/>
    <x v="118"/>
  </r>
  <r>
    <n v="148"/>
    <x v="119"/>
    <s v="CUST148"/>
    <s v="Male"/>
    <n v="18"/>
    <s v="Clothing"/>
    <n v="2"/>
    <n v="30"/>
    <n v="60"/>
    <x v="119"/>
  </r>
  <r>
    <n v="149"/>
    <x v="120"/>
    <s v="CUST149"/>
    <s v="Male"/>
    <n v="22"/>
    <s v="Clothing"/>
    <n v="3"/>
    <n v="25"/>
    <n v="75"/>
    <x v="120"/>
  </r>
  <r>
    <n v="150"/>
    <x v="121"/>
    <s v="CUST150"/>
    <s v="Female"/>
    <n v="58"/>
    <s v="Electronics"/>
    <n v="4"/>
    <n v="30"/>
    <n v="120"/>
    <x v="121"/>
  </r>
  <r>
    <n v="151"/>
    <x v="112"/>
    <s v="CUST151"/>
    <s v="Male"/>
    <n v="29"/>
    <s v="Clothing"/>
    <n v="1"/>
    <n v="50"/>
    <n v="50"/>
    <x v="112"/>
  </r>
  <r>
    <n v="152"/>
    <x v="122"/>
    <s v="CUST152"/>
    <s v="Male"/>
    <n v="43"/>
    <s v="Electronics"/>
    <n v="4"/>
    <n v="500"/>
    <n v="2000"/>
    <x v="122"/>
  </r>
  <r>
    <n v="153"/>
    <x v="72"/>
    <s v="CUST153"/>
    <s v="Male"/>
    <n v="63"/>
    <s v="Electronics"/>
    <n v="2"/>
    <n v="500"/>
    <n v="1000"/>
    <x v="72"/>
  </r>
  <r>
    <n v="154"/>
    <x v="45"/>
    <s v="CUST154"/>
    <s v="Male"/>
    <n v="51"/>
    <s v="Electronics"/>
    <n v="3"/>
    <n v="300"/>
    <n v="900"/>
    <x v="45"/>
  </r>
  <r>
    <n v="155"/>
    <x v="71"/>
    <s v="CUST155"/>
    <s v="Male"/>
    <n v="31"/>
    <s v="Electronics"/>
    <n v="4"/>
    <n v="500"/>
    <n v="2000"/>
    <x v="71"/>
  </r>
  <r>
    <n v="156"/>
    <x v="123"/>
    <s v="CUST156"/>
    <s v="Female"/>
    <n v="43"/>
    <s v="Clothing"/>
    <n v="4"/>
    <n v="25"/>
    <n v="100"/>
    <x v="123"/>
  </r>
  <r>
    <n v="157"/>
    <x v="33"/>
    <s v="CUST157"/>
    <s v="Male"/>
    <n v="62"/>
    <s v="Electronics"/>
    <n v="4"/>
    <n v="500"/>
    <n v="2000"/>
    <x v="33"/>
  </r>
  <r>
    <n v="158"/>
    <x v="1"/>
    <s v="CUST158"/>
    <s v="Female"/>
    <n v="44"/>
    <s v="Electronics"/>
    <n v="2"/>
    <n v="300"/>
    <n v="600"/>
    <x v="1"/>
  </r>
  <r>
    <n v="159"/>
    <x v="50"/>
    <s v="CUST159"/>
    <s v="Male"/>
    <n v="26"/>
    <s v="Clothing"/>
    <n v="4"/>
    <n v="50"/>
    <n v="200"/>
    <x v="50"/>
  </r>
  <r>
    <n v="160"/>
    <x v="124"/>
    <s v="CUST160"/>
    <s v="Female"/>
    <n v="43"/>
    <s v="Clothing"/>
    <n v="2"/>
    <n v="50"/>
    <n v="100"/>
    <x v="124"/>
  </r>
  <r>
    <n v="161"/>
    <x v="125"/>
    <s v="CUST161"/>
    <s v="Male"/>
    <n v="64"/>
    <s v="Beauty"/>
    <n v="2"/>
    <n v="500"/>
    <n v="1000"/>
    <x v="125"/>
  </r>
  <r>
    <n v="162"/>
    <x v="63"/>
    <s v="CUST162"/>
    <s v="Male"/>
    <n v="39"/>
    <s v="Clothing"/>
    <n v="2"/>
    <n v="30"/>
    <n v="60"/>
    <x v="63"/>
  </r>
  <r>
    <n v="163"/>
    <x v="126"/>
    <s v="CUST163"/>
    <s v="Female"/>
    <n v="64"/>
    <s v="Clothing"/>
    <n v="3"/>
    <n v="50"/>
    <n v="150"/>
    <x v="126"/>
  </r>
  <r>
    <n v="164"/>
    <x v="100"/>
    <s v="CUST164"/>
    <s v="Female"/>
    <n v="47"/>
    <s v="Beauty"/>
    <n v="3"/>
    <n v="500"/>
    <n v="1500"/>
    <x v="100"/>
  </r>
  <r>
    <n v="165"/>
    <x v="127"/>
    <s v="CUST165"/>
    <s v="Female"/>
    <n v="60"/>
    <s v="Clothing"/>
    <n v="4"/>
    <n v="300"/>
    <n v="1200"/>
    <x v="127"/>
  </r>
  <r>
    <n v="166"/>
    <x v="128"/>
    <s v="CUST166"/>
    <s v="Male"/>
    <n v="34"/>
    <s v="Clothing"/>
    <n v="4"/>
    <n v="500"/>
    <n v="2000"/>
    <x v="128"/>
  </r>
  <r>
    <n v="167"/>
    <x v="129"/>
    <s v="CUST167"/>
    <s v="Female"/>
    <n v="43"/>
    <s v="Clothing"/>
    <n v="3"/>
    <n v="50"/>
    <n v="150"/>
    <x v="129"/>
  </r>
  <r>
    <n v="168"/>
    <x v="130"/>
    <s v="CUST168"/>
    <s v="Male"/>
    <n v="53"/>
    <s v="Clothing"/>
    <n v="1"/>
    <n v="300"/>
    <n v="300"/>
    <x v="130"/>
  </r>
  <r>
    <n v="169"/>
    <x v="131"/>
    <s v="CUST169"/>
    <s v="Male"/>
    <n v="18"/>
    <s v="Beauty"/>
    <n v="3"/>
    <n v="500"/>
    <n v="1500"/>
    <x v="131"/>
  </r>
  <r>
    <n v="170"/>
    <x v="132"/>
    <s v="CUST170"/>
    <s v="Female"/>
    <n v="25"/>
    <s v="Clothing"/>
    <n v="2"/>
    <n v="25"/>
    <n v="50"/>
    <x v="132"/>
  </r>
  <r>
    <n v="171"/>
    <x v="0"/>
    <s v="CUST171"/>
    <s v="Female"/>
    <n v="52"/>
    <s v="Clothing"/>
    <n v="3"/>
    <n v="300"/>
    <n v="900"/>
    <x v="0"/>
  </r>
  <r>
    <n v="172"/>
    <x v="129"/>
    <s v="CUST172"/>
    <s v="Male"/>
    <n v="32"/>
    <s v="Beauty"/>
    <n v="2"/>
    <n v="25"/>
    <n v="50"/>
    <x v="129"/>
  </r>
  <r>
    <n v="173"/>
    <x v="75"/>
    <s v="CUST173"/>
    <s v="Male"/>
    <n v="64"/>
    <s v="Electronics"/>
    <n v="4"/>
    <n v="30"/>
    <n v="120"/>
    <x v="75"/>
  </r>
  <r>
    <n v="174"/>
    <x v="22"/>
    <s v="CUST174"/>
    <s v="Female"/>
    <n v="39"/>
    <s v="Beauty"/>
    <n v="1"/>
    <n v="300"/>
    <n v="300"/>
    <x v="22"/>
  </r>
  <r>
    <n v="175"/>
    <x v="111"/>
    <s v="CUST175"/>
    <s v="Female"/>
    <n v="31"/>
    <s v="Electronics"/>
    <n v="4"/>
    <n v="25"/>
    <n v="100"/>
    <x v="111"/>
  </r>
  <r>
    <n v="176"/>
    <x v="133"/>
    <s v="CUST176"/>
    <s v="Female"/>
    <n v="43"/>
    <s v="Beauty"/>
    <n v="2"/>
    <n v="50"/>
    <n v="100"/>
    <x v="133"/>
  </r>
  <r>
    <n v="177"/>
    <x v="134"/>
    <s v="CUST177"/>
    <s v="Male"/>
    <n v="45"/>
    <s v="Beauty"/>
    <n v="2"/>
    <n v="50"/>
    <n v="100"/>
    <x v="134"/>
  </r>
  <r>
    <n v="178"/>
    <x v="135"/>
    <s v="CUST178"/>
    <s v="Male"/>
    <n v="40"/>
    <s v="Clothing"/>
    <n v="2"/>
    <n v="30"/>
    <n v="60"/>
    <x v="135"/>
  </r>
  <r>
    <n v="179"/>
    <x v="136"/>
    <s v="CUST179"/>
    <s v="Male"/>
    <n v="31"/>
    <s v="Electronics"/>
    <n v="1"/>
    <n v="300"/>
    <n v="300"/>
    <x v="136"/>
  </r>
  <r>
    <n v="180"/>
    <x v="137"/>
    <s v="CUST180"/>
    <s v="Male"/>
    <n v="41"/>
    <s v="Clothing"/>
    <n v="3"/>
    <n v="300"/>
    <n v="900"/>
    <x v="137"/>
  </r>
  <r>
    <n v="181"/>
    <x v="138"/>
    <s v="CUST181"/>
    <s v="Male"/>
    <n v="19"/>
    <s v="Electronics"/>
    <n v="4"/>
    <n v="300"/>
    <n v="1200"/>
    <x v="138"/>
  </r>
  <r>
    <n v="182"/>
    <x v="139"/>
    <s v="CUST182"/>
    <s v="Male"/>
    <n v="62"/>
    <s v="Beauty"/>
    <n v="4"/>
    <n v="30"/>
    <n v="120"/>
    <x v="139"/>
  </r>
  <r>
    <n v="183"/>
    <x v="140"/>
    <s v="CUST183"/>
    <s v="Female"/>
    <n v="43"/>
    <s v="Beauty"/>
    <n v="3"/>
    <n v="300"/>
    <n v="900"/>
    <x v="140"/>
  </r>
  <r>
    <n v="184"/>
    <x v="141"/>
    <s v="CUST184"/>
    <s v="Male"/>
    <n v="31"/>
    <s v="Electronics"/>
    <n v="4"/>
    <n v="50"/>
    <n v="200"/>
    <x v="141"/>
  </r>
  <r>
    <n v="185"/>
    <x v="1"/>
    <s v="CUST185"/>
    <s v="Male"/>
    <n v="24"/>
    <s v="Clothing"/>
    <n v="1"/>
    <n v="25"/>
    <n v="25"/>
    <x v="1"/>
  </r>
  <r>
    <n v="186"/>
    <x v="53"/>
    <s v="CUST186"/>
    <s v="Male"/>
    <n v="20"/>
    <s v="Clothing"/>
    <n v="4"/>
    <n v="50"/>
    <n v="200"/>
    <x v="53"/>
  </r>
  <r>
    <n v="187"/>
    <x v="142"/>
    <s v="CUST187"/>
    <s v="Female"/>
    <n v="64"/>
    <s v="Clothing"/>
    <n v="2"/>
    <n v="50"/>
    <n v="100"/>
    <x v="142"/>
  </r>
  <r>
    <n v="188"/>
    <x v="143"/>
    <s v="CUST188"/>
    <s v="Male"/>
    <n v="40"/>
    <s v="Clothing"/>
    <n v="3"/>
    <n v="25"/>
    <n v="75"/>
    <x v="143"/>
  </r>
  <r>
    <n v="189"/>
    <x v="144"/>
    <s v="CUST189"/>
    <s v="Male"/>
    <n v="63"/>
    <s v="Beauty"/>
    <n v="1"/>
    <n v="50"/>
    <n v="50"/>
    <x v="144"/>
  </r>
  <r>
    <n v="190"/>
    <x v="145"/>
    <s v="CUST190"/>
    <s v="Female"/>
    <n v="60"/>
    <s v="Beauty"/>
    <n v="3"/>
    <n v="30"/>
    <n v="90"/>
    <x v="145"/>
  </r>
  <r>
    <n v="191"/>
    <x v="91"/>
    <s v="CUST191"/>
    <s v="Male"/>
    <n v="64"/>
    <s v="Beauty"/>
    <n v="1"/>
    <n v="25"/>
    <n v="25"/>
    <x v="91"/>
  </r>
  <r>
    <n v="192"/>
    <x v="48"/>
    <s v="CUST192"/>
    <s v="Male"/>
    <n v="62"/>
    <s v="Beauty"/>
    <n v="2"/>
    <n v="50"/>
    <n v="100"/>
    <x v="48"/>
  </r>
  <r>
    <n v="193"/>
    <x v="146"/>
    <s v="CUST193"/>
    <s v="Male"/>
    <n v="35"/>
    <s v="Beauty"/>
    <n v="3"/>
    <n v="500"/>
    <n v="1500"/>
    <x v="146"/>
  </r>
  <r>
    <n v="194"/>
    <x v="147"/>
    <s v="CUST194"/>
    <s v="Male"/>
    <n v="55"/>
    <s v="Clothing"/>
    <n v="4"/>
    <n v="50"/>
    <n v="200"/>
    <x v="147"/>
  </r>
  <r>
    <n v="195"/>
    <x v="57"/>
    <s v="CUST195"/>
    <s v="Male"/>
    <n v="52"/>
    <s v="Clothing"/>
    <n v="1"/>
    <n v="30"/>
    <n v="30"/>
    <x v="57"/>
  </r>
  <r>
    <n v="196"/>
    <x v="148"/>
    <s v="CUST196"/>
    <s v="Female"/>
    <n v="32"/>
    <s v="Clothing"/>
    <n v="3"/>
    <n v="300"/>
    <n v="900"/>
    <x v="148"/>
  </r>
  <r>
    <n v="197"/>
    <x v="149"/>
    <s v="CUST197"/>
    <s v="Female"/>
    <n v="42"/>
    <s v="Clothing"/>
    <n v="4"/>
    <n v="50"/>
    <n v="200"/>
    <x v="149"/>
  </r>
  <r>
    <n v="198"/>
    <x v="150"/>
    <s v="CUST198"/>
    <s v="Female"/>
    <n v="54"/>
    <s v="Beauty"/>
    <n v="3"/>
    <n v="300"/>
    <n v="900"/>
    <x v="150"/>
  </r>
  <r>
    <n v="199"/>
    <x v="151"/>
    <s v="CUST199"/>
    <s v="Male"/>
    <n v="45"/>
    <s v="Beauty"/>
    <n v="3"/>
    <n v="500"/>
    <n v="1500"/>
    <x v="151"/>
  </r>
  <r>
    <n v="200"/>
    <x v="152"/>
    <s v="CUST200"/>
    <s v="Male"/>
    <n v="27"/>
    <s v="Beauty"/>
    <n v="3"/>
    <n v="50"/>
    <n v="150"/>
    <x v="152"/>
  </r>
  <r>
    <n v="201"/>
    <x v="153"/>
    <s v="CUST201"/>
    <s v="Male"/>
    <n v="56"/>
    <s v="Electronics"/>
    <n v="1"/>
    <n v="25"/>
    <n v="25"/>
    <x v="153"/>
  </r>
  <r>
    <n v="202"/>
    <x v="154"/>
    <s v="CUST202"/>
    <s v="Female"/>
    <n v="34"/>
    <s v="Clothing"/>
    <n v="4"/>
    <n v="300"/>
    <n v="1200"/>
    <x v="154"/>
  </r>
  <r>
    <n v="203"/>
    <x v="42"/>
    <s v="CUST203"/>
    <s v="Male"/>
    <n v="56"/>
    <s v="Clothing"/>
    <n v="2"/>
    <n v="500"/>
    <n v="1000"/>
    <x v="42"/>
  </r>
  <r>
    <n v="204"/>
    <x v="118"/>
    <s v="CUST204"/>
    <s v="Male"/>
    <n v="39"/>
    <s v="Beauty"/>
    <n v="1"/>
    <n v="25"/>
    <n v="25"/>
    <x v="118"/>
  </r>
  <r>
    <n v="205"/>
    <x v="155"/>
    <s v="CUST205"/>
    <s v="Female"/>
    <n v="43"/>
    <s v="Clothing"/>
    <n v="1"/>
    <n v="25"/>
    <n v="25"/>
    <x v="155"/>
  </r>
  <r>
    <n v="206"/>
    <x v="12"/>
    <s v="CUST206"/>
    <s v="Male"/>
    <n v="61"/>
    <s v="Clothing"/>
    <n v="1"/>
    <n v="25"/>
    <n v="25"/>
    <x v="12"/>
  </r>
  <r>
    <n v="207"/>
    <x v="90"/>
    <s v="CUST207"/>
    <s v="Female"/>
    <n v="42"/>
    <s v="Beauty"/>
    <n v="2"/>
    <n v="25"/>
    <n v="50"/>
    <x v="90"/>
  </r>
  <r>
    <n v="208"/>
    <x v="135"/>
    <s v="CUST208"/>
    <s v="Female"/>
    <n v="34"/>
    <s v="Electronics"/>
    <n v="4"/>
    <n v="50"/>
    <n v="200"/>
    <x v="135"/>
  </r>
  <r>
    <n v="209"/>
    <x v="156"/>
    <s v="CUST209"/>
    <s v="Female"/>
    <n v="30"/>
    <s v="Electronics"/>
    <n v="4"/>
    <n v="50"/>
    <n v="200"/>
    <x v="156"/>
  </r>
  <r>
    <n v="210"/>
    <x v="157"/>
    <s v="CUST210"/>
    <s v="Male"/>
    <n v="37"/>
    <s v="Electronics"/>
    <n v="4"/>
    <n v="50"/>
    <n v="200"/>
    <x v="157"/>
  </r>
  <r>
    <n v="211"/>
    <x v="158"/>
    <s v="CUST211"/>
    <s v="Male"/>
    <n v="42"/>
    <s v="Beauty"/>
    <n v="3"/>
    <n v="500"/>
    <n v="1500"/>
    <x v="158"/>
  </r>
  <r>
    <n v="212"/>
    <x v="159"/>
    <s v="CUST212"/>
    <s v="Male"/>
    <n v="21"/>
    <s v="Clothing"/>
    <n v="3"/>
    <n v="500"/>
    <n v="1500"/>
    <x v="159"/>
  </r>
  <r>
    <n v="213"/>
    <x v="104"/>
    <s v="CUST213"/>
    <s v="Male"/>
    <n v="27"/>
    <s v="Beauty"/>
    <n v="3"/>
    <n v="500"/>
    <n v="1500"/>
    <x v="104"/>
  </r>
  <r>
    <n v="214"/>
    <x v="70"/>
    <s v="CUST214"/>
    <s v="Male"/>
    <n v="20"/>
    <s v="Beauty"/>
    <n v="2"/>
    <n v="30"/>
    <n v="60"/>
    <x v="70"/>
  </r>
  <r>
    <n v="215"/>
    <x v="23"/>
    <s v="CUST215"/>
    <s v="Male"/>
    <n v="58"/>
    <s v="Clothing"/>
    <n v="3"/>
    <n v="500"/>
    <n v="1500"/>
    <x v="23"/>
  </r>
  <r>
    <n v="216"/>
    <x v="133"/>
    <s v="CUST216"/>
    <s v="Male"/>
    <n v="62"/>
    <s v="Electronics"/>
    <n v="2"/>
    <n v="50"/>
    <n v="100"/>
    <x v="133"/>
  </r>
  <r>
    <n v="217"/>
    <x v="160"/>
    <s v="CUST217"/>
    <s v="Female"/>
    <n v="35"/>
    <s v="Electronics"/>
    <n v="4"/>
    <n v="50"/>
    <n v="200"/>
    <x v="160"/>
  </r>
  <r>
    <n v="218"/>
    <x v="161"/>
    <s v="CUST218"/>
    <s v="Male"/>
    <n v="64"/>
    <s v="Beauty"/>
    <n v="3"/>
    <n v="30"/>
    <n v="90"/>
    <x v="161"/>
  </r>
  <r>
    <n v="219"/>
    <x v="162"/>
    <s v="CUST219"/>
    <s v="Female"/>
    <n v="53"/>
    <s v="Electronics"/>
    <n v="3"/>
    <n v="30"/>
    <n v="90"/>
    <x v="162"/>
  </r>
  <r>
    <n v="220"/>
    <x v="163"/>
    <s v="CUST220"/>
    <s v="Male"/>
    <n v="64"/>
    <s v="Beauty"/>
    <n v="1"/>
    <n v="500"/>
    <n v="500"/>
    <x v="163"/>
  </r>
  <r>
    <n v="221"/>
    <x v="98"/>
    <s v="CUST221"/>
    <s v="Male"/>
    <n v="39"/>
    <s v="Beauty"/>
    <n v="2"/>
    <n v="300"/>
    <n v="600"/>
    <x v="98"/>
  </r>
  <r>
    <n v="222"/>
    <x v="164"/>
    <s v="CUST222"/>
    <s v="Male"/>
    <n v="51"/>
    <s v="Clothing"/>
    <n v="4"/>
    <n v="30"/>
    <n v="120"/>
    <x v="164"/>
  </r>
  <r>
    <n v="223"/>
    <x v="114"/>
    <s v="CUST223"/>
    <s v="Female"/>
    <n v="64"/>
    <s v="Clothing"/>
    <n v="1"/>
    <n v="25"/>
    <n v="25"/>
    <x v="114"/>
  </r>
  <r>
    <n v="224"/>
    <x v="165"/>
    <s v="CUST224"/>
    <s v="Female"/>
    <n v="25"/>
    <s v="Clothing"/>
    <n v="1"/>
    <n v="50"/>
    <n v="50"/>
    <x v="165"/>
  </r>
  <r>
    <n v="225"/>
    <x v="166"/>
    <s v="CUST225"/>
    <s v="Female"/>
    <n v="57"/>
    <s v="Beauty"/>
    <n v="4"/>
    <n v="25"/>
    <n v="100"/>
    <x v="166"/>
  </r>
  <r>
    <n v="226"/>
    <x v="28"/>
    <s v="CUST226"/>
    <s v="Female"/>
    <n v="61"/>
    <s v="Clothing"/>
    <n v="1"/>
    <n v="50"/>
    <n v="50"/>
    <x v="28"/>
  </r>
  <r>
    <n v="227"/>
    <x v="120"/>
    <s v="CUST227"/>
    <s v="Male"/>
    <n v="36"/>
    <s v="Electronics"/>
    <n v="2"/>
    <n v="50"/>
    <n v="100"/>
    <x v="120"/>
  </r>
  <r>
    <n v="228"/>
    <x v="85"/>
    <s v="CUST228"/>
    <s v="Female"/>
    <n v="59"/>
    <s v="Electronics"/>
    <n v="2"/>
    <n v="30"/>
    <n v="60"/>
    <x v="85"/>
  </r>
  <r>
    <n v="229"/>
    <x v="28"/>
    <s v="CUST229"/>
    <s v="Male"/>
    <n v="58"/>
    <s v="Beauty"/>
    <n v="3"/>
    <n v="30"/>
    <n v="90"/>
    <x v="28"/>
  </r>
  <r>
    <n v="230"/>
    <x v="26"/>
    <s v="CUST230"/>
    <s v="Male"/>
    <n v="54"/>
    <s v="Beauty"/>
    <n v="1"/>
    <n v="25"/>
    <n v="25"/>
    <x v="26"/>
  </r>
  <r>
    <n v="231"/>
    <x v="30"/>
    <s v="CUST231"/>
    <s v="Female"/>
    <n v="23"/>
    <s v="Clothing"/>
    <n v="3"/>
    <n v="50"/>
    <n v="150"/>
    <x v="30"/>
  </r>
  <r>
    <n v="232"/>
    <x v="74"/>
    <s v="CUST232"/>
    <s v="Female"/>
    <n v="43"/>
    <s v="Beauty"/>
    <n v="1"/>
    <n v="25"/>
    <n v="25"/>
    <x v="74"/>
  </r>
  <r>
    <n v="233"/>
    <x v="167"/>
    <s v="CUST233"/>
    <s v="Female"/>
    <n v="51"/>
    <s v="Beauty"/>
    <n v="2"/>
    <n v="300"/>
    <n v="600"/>
    <x v="167"/>
  </r>
  <r>
    <n v="234"/>
    <x v="168"/>
    <s v="CUST234"/>
    <s v="Female"/>
    <n v="62"/>
    <s v="Electronics"/>
    <n v="2"/>
    <n v="25"/>
    <n v="50"/>
    <x v="168"/>
  </r>
  <r>
    <n v="235"/>
    <x v="169"/>
    <s v="CUST235"/>
    <s v="Female"/>
    <n v="23"/>
    <s v="Electronics"/>
    <n v="2"/>
    <n v="500"/>
    <n v="1000"/>
    <x v="169"/>
  </r>
  <r>
    <n v="236"/>
    <x v="85"/>
    <s v="CUST236"/>
    <s v="Female"/>
    <n v="54"/>
    <s v="Clothing"/>
    <n v="1"/>
    <n v="25"/>
    <n v="25"/>
    <x v="85"/>
  </r>
  <r>
    <n v="237"/>
    <x v="170"/>
    <s v="CUST237"/>
    <s v="Female"/>
    <n v="50"/>
    <s v="Beauty"/>
    <n v="2"/>
    <n v="500"/>
    <n v="1000"/>
    <x v="170"/>
  </r>
  <r>
    <n v="238"/>
    <x v="13"/>
    <s v="CUST238"/>
    <s v="Female"/>
    <n v="39"/>
    <s v="Beauty"/>
    <n v="1"/>
    <n v="500"/>
    <n v="500"/>
    <x v="13"/>
  </r>
  <r>
    <n v="239"/>
    <x v="171"/>
    <s v="CUST239"/>
    <s v="Male"/>
    <n v="38"/>
    <s v="Electronics"/>
    <n v="3"/>
    <n v="500"/>
    <n v="1500"/>
    <x v="171"/>
  </r>
  <r>
    <n v="240"/>
    <x v="74"/>
    <s v="CUST240"/>
    <s v="Female"/>
    <n v="23"/>
    <s v="Beauty"/>
    <n v="1"/>
    <n v="300"/>
    <n v="300"/>
    <x v="74"/>
  </r>
  <r>
    <n v="241"/>
    <x v="172"/>
    <s v="CUST241"/>
    <s v="Female"/>
    <n v="23"/>
    <s v="Electronics"/>
    <n v="3"/>
    <n v="25"/>
    <n v="75"/>
    <x v="172"/>
  </r>
  <r>
    <n v="242"/>
    <x v="173"/>
    <s v="CUST242"/>
    <s v="Male"/>
    <n v="21"/>
    <s v="Clothing"/>
    <n v="1"/>
    <n v="25"/>
    <n v="25"/>
    <x v="173"/>
  </r>
  <r>
    <n v="243"/>
    <x v="29"/>
    <s v="CUST243"/>
    <s v="Female"/>
    <n v="47"/>
    <s v="Electronics"/>
    <n v="3"/>
    <n v="300"/>
    <n v="900"/>
    <x v="29"/>
  </r>
  <r>
    <n v="244"/>
    <x v="174"/>
    <s v="CUST244"/>
    <s v="Male"/>
    <n v="28"/>
    <s v="Beauty"/>
    <n v="2"/>
    <n v="50"/>
    <n v="100"/>
    <x v="174"/>
  </r>
  <r>
    <n v="245"/>
    <x v="147"/>
    <s v="CUST245"/>
    <s v="Male"/>
    <n v="47"/>
    <s v="Clothing"/>
    <n v="3"/>
    <n v="30"/>
    <n v="90"/>
    <x v="147"/>
  </r>
  <r>
    <n v="246"/>
    <x v="175"/>
    <s v="CUST246"/>
    <s v="Female"/>
    <n v="48"/>
    <s v="Electronics"/>
    <n v="2"/>
    <n v="25"/>
    <n v="50"/>
    <x v="175"/>
  </r>
  <r>
    <n v="247"/>
    <x v="135"/>
    <s v="CUST247"/>
    <s v="Male"/>
    <n v="41"/>
    <s v="Electronics"/>
    <n v="2"/>
    <n v="30"/>
    <n v="60"/>
    <x v="135"/>
  </r>
  <r>
    <n v="248"/>
    <x v="176"/>
    <s v="CUST248"/>
    <s v="Male"/>
    <n v="26"/>
    <s v="Clothing"/>
    <n v="3"/>
    <n v="300"/>
    <n v="900"/>
    <x v="176"/>
  </r>
  <r>
    <n v="249"/>
    <x v="177"/>
    <s v="CUST249"/>
    <s v="Male"/>
    <n v="20"/>
    <s v="Clothing"/>
    <n v="1"/>
    <n v="50"/>
    <n v="50"/>
    <x v="177"/>
  </r>
  <r>
    <n v="250"/>
    <x v="54"/>
    <s v="CUST250"/>
    <s v="Male"/>
    <n v="48"/>
    <s v="Electronics"/>
    <n v="1"/>
    <n v="50"/>
    <n v="50"/>
    <x v="54"/>
  </r>
  <r>
    <n v="251"/>
    <x v="178"/>
    <s v="CUST251"/>
    <s v="Female"/>
    <n v="57"/>
    <s v="Beauty"/>
    <n v="4"/>
    <n v="50"/>
    <n v="200"/>
    <x v="178"/>
  </r>
  <r>
    <n v="252"/>
    <x v="179"/>
    <s v="CUST252"/>
    <s v="Male"/>
    <n v="54"/>
    <s v="Electronics"/>
    <n v="1"/>
    <n v="300"/>
    <n v="300"/>
    <x v="179"/>
  </r>
  <r>
    <n v="253"/>
    <x v="178"/>
    <s v="CUST253"/>
    <s v="Female"/>
    <n v="53"/>
    <s v="Clothing"/>
    <n v="4"/>
    <n v="500"/>
    <n v="2000"/>
    <x v="178"/>
  </r>
  <r>
    <n v="254"/>
    <x v="180"/>
    <s v="CUST254"/>
    <s v="Male"/>
    <n v="41"/>
    <s v="Electronics"/>
    <n v="1"/>
    <n v="500"/>
    <n v="500"/>
    <x v="180"/>
  </r>
  <r>
    <n v="255"/>
    <x v="181"/>
    <s v="CUST255"/>
    <s v="Male"/>
    <n v="48"/>
    <s v="Clothing"/>
    <n v="1"/>
    <n v="30"/>
    <n v="30"/>
    <x v="181"/>
  </r>
  <r>
    <n v="256"/>
    <x v="182"/>
    <s v="CUST256"/>
    <s v="Male"/>
    <n v="23"/>
    <s v="Clothing"/>
    <n v="2"/>
    <n v="500"/>
    <n v="1000"/>
    <x v="182"/>
  </r>
  <r>
    <n v="257"/>
    <x v="38"/>
    <s v="CUST257"/>
    <s v="Male"/>
    <n v="19"/>
    <s v="Beauty"/>
    <n v="4"/>
    <n v="500"/>
    <n v="2000"/>
    <x v="38"/>
  </r>
  <r>
    <n v="258"/>
    <x v="151"/>
    <s v="CUST258"/>
    <s v="Female"/>
    <n v="37"/>
    <s v="Clothing"/>
    <n v="1"/>
    <n v="50"/>
    <n v="50"/>
    <x v="151"/>
  </r>
  <r>
    <n v="259"/>
    <x v="183"/>
    <s v="CUST259"/>
    <s v="Female"/>
    <n v="45"/>
    <s v="Clothing"/>
    <n v="4"/>
    <n v="50"/>
    <n v="200"/>
    <x v="183"/>
  </r>
  <r>
    <n v="260"/>
    <x v="68"/>
    <s v="CUST260"/>
    <s v="Male"/>
    <n v="28"/>
    <s v="Beauty"/>
    <n v="2"/>
    <n v="30"/>
    <n v="60"/>
    <x v="68"/>
  </r>
  <r>
    <n v="261"/>
    <x v="12"/>
    <s v="CUST261"/>
    <s v="Male"/>
    <n v="21"/>
    <s v="Clothing"/>
    <n v="2"/>
    <n v="25"/>
    <n v="50"/>
    <x v="12"/>
  </r>
  <r>
    <n v="262"/>
    <x v="184"/>
    <s v="CUST262"/>
    <s v="Female"/>
    <n v="32"/>
    <s v="Beauty"/>
    <n v="4"/>
    <n v="30"/>
    <n v="120"/>
    <x v="184"/>
  </r>
  <r>
    <n v="263"/>
    <x v="117"/>
    <s v="CUST263"/>
    <s v="Male"/>
    <n v="23"/>
    <s v="Beauty"/>
    <n v="2"/>
    <n v="30"/>
    <n v="60"/>
    <x v="117"/>
  </r>
  <r>
    <n v="264"/>
    <x v="185"/>
    <s v="CUST264"/>
    <s v="Male"/>
    <n v="47"/>
    <s v="Clothing"/>
    <n v="3"/>
    <n v="300"/>
    <n v="900"/>
    <x v="185"/>
  </r>
  <r>
    <n v="265"/>
    <x v="186"/>
    <s v="CUST265"/>
    <s v="Male"/>
    <n v="55"/>
    <s v="Clothing"/>
    <n v="3"/>
    <n v="300"/>
    <n v="900"/>
    <x v="186"/>
  </r>
  <r>
    <n v="266"/>
    <x v="187"/>
    <s v="CUST266"/>
    <s v="Female"/>
    <n v="19"/>
    <s v="Electronics"/>
    <n v="2"/>
    <n v="30"/>
    <n v="60"/>
    <x v="187"/>
  </r>
  <r>
    <n v="267"/>
    <x v="188"/>
    <s v="CUST267"/>
    <s v="Female"/>
    <n v="32"/>
    <s v="Beauty"/>
    <n v="3"/>
    <n v="30"/>
    <n v="90"/>
    <x v="188"/>
  </r>
  <r>
    <n v="268"/>
    <x v="189"/>
    <s v="CUST268"/>
    <s v="Female"/>
    <n v="28"/>
    <s v="Electronics"/>
    <n v="1"/>
    <n v="30"/>
    <n v="30"/>
    <x v="189"/>
  </r>
  <r>
    <n v="269"/>
    <x v="190"/>
    <s v="CUST269"/>
    <s v="Male"/>
    <n v="25"/>
    <s v="Clothing"/>
    <n v="4"/>
    <n v="500"/>
    <n v="2000"/>
    <x v="190"/>
  </r>
  <r>
    <n v="270"/>
    <x v="191"/>
    <s v="CUST270"/>
    <s v="Male"/>
    <n v="43"/>
    <s v="Electronics"/>
    <n v="1"/>
    <n v="300"/>
    <n v="300"/>
    <x v="191"/>
  </r>
  <r>
    <n v="271"/>
    <x v="165"/>
    <s v="CUST271"/>
    <s v="Female"/>
    <n v="62"/>
    <s v="Beauty"/>
    <n v="4"/>
    <n v="30"/>
    <n v="120"/>
    <x v="165"/>
  </r>
  <r>
    <n v="272"/>
    <x v="192"/>
    <s v="CUST272"/>
    <s v="Female"/>
    <n v="61"/>
    <s v="Electronics"/>
    <n v="2"/>
    <n v="50"/>
    <n v="100"/>
    <x v="192"/>
  </r>
  <r>
    <n v="273"/>
    <x v="193"/>
    <s v="CUST273"/>
    <s v="Female"/>
    <n v="22"/>
    <s v="Beauty"/>
    <n v="1"/>
    <n v="50"/>
    <n v="50"/>
    <x v="193"/>
  </r>
  <r>
    <n v="274"/>
    <x v="55"/>
    <s v="CUST274"/>
    <s v="Female"/>
    <n v="23"/>
    <s v="Clothing"/>
    <n v="2"/>
    <n v="500"/>
    <n v="1000"/>
    <x v="55"/>
  </r>
  <r>
    <n v="275"/>
    <x v="181"/>
    <s v="CUST275"/>
    <s v="Male"/>
    <n v="43"/>
    <s v="Clothing"/>
    <n v="2"/>
    <n v="500"/>
    <n v="1000"/>
    <x v="181"/>
  </r>
  <r>
    <n v="276"/>
    <x v="45"/>
    <s v="CUST276"/>
    <s v="Female"/>
    <n v="21"/>
    <s v="Beauty"/>
    <n v="4"/>
    <n v="25"/>
    <n v="100"/>
    <x v="45"/>
  </r>
  <r>
    <n v="277"/>
    <x v="27"/>
    <s v="CUST277"/>
    <s v="Male"/>
    <n v="36"/>
    <s v="Clothing"/>
    <n v="4"/>
    <n v="25"/>
    <n v="100"/>
    <x v="27"/>
  </r>
  <r>
    <n v="278"/>
    <x v="6"/>
    <s v="CUST278"/>
    <s v="Female"/>
    <n v="37"/>
    <s v="Clothing"/>
    <n v="4"/>
    <n v="25"/>
    <n v="100"/>
    <x v="6"/>
  </r>
  <r>
    <n v="279"/>
    <x v="12"/>
    <s v="CUST279"/>
    <s v="Male"/>
    <n v="50"/>
    <s v="Clothing"/>
    <n v="1"/>
    <n v="500"/>
    <n v="500"/>
    <x v="12"/>
  </r>
  <r>
    <n v="280"/>
    <x v="194"/>
    <s v="CUST280"/>
    <s v="Female"/>
    <n v="37"/>
    <s v="Clothing"/>
    <n v="3"/>
    <n v="500"/>
    <n v="1500"/>
    <x v="194"/>
  </r>
  <r>
    <n v="281"/>
    <x v="29"/>
    <s v="CUST281"/>
    <s v="Female"/>
    <n v="29"/>
    <s v="Beauty"/>
    <n v="4"/>
    <n v="500"/>
    <n v="2000"/>
    <x v="29"/>
  </r>
  <r>
    <n v="282"/>
    <x v="78"/>
    <s v="CUST282"/>
    <s v="Female"/>
    <n v="64"/>
    <s v="Electronics"/>
    <n v="4"/>
    <n v="50"/>
    <n v="200"/>
    <x v="78"/>
  </r>
  <r>
    <n v="283"/>
    <x v="193"/>
    <s v="CUST283"/>
    <s v="Female"/>
    <n v="18"/>
    <s v="Electronics"/>
    <n v="1"/>
    <n v="500"/>
    <n v="500"/>
    <x v="193"/>
  </r>
  <r>
    <n v="284"/>
    <x v="195"/>
    <s v="CUST284"/>
    <s v="Male"/>
    <n v="43"/>
    <s v="Clothing"/>
    <n v="4"/>
    <n v="50"/>
    <n v="200"/>
    <x v="195"/>
  </r>
  <r>
    <n v="285"/>
    <x v="196"/>
    <s v="CUST285"/>
    <s v="Female"/>
    <n v="31"/>
    <s v="Electronics"/>
    <n v="1"/>
    <n v="25"/>
    <n v="25"/>
    <x v="196"/>
  </r>
  <r>
    <n v="286"/>
    <x v="153"/>
    <s v="CUST286"/>
    <s v="Male"/>
    <n v="55"/>
    <s v="Electronics"/>
    <n v="2"/>
    <n v="25"/>
    <n v="50"/>
    <x v="153"/>
  </r>
  <r>
    <n v="287"/>
    <x v="189"/>
    <s v="CUST287"/>
    <s v="Male"/>
    <n v="54"/>
    <s v="Clothing"/>
    <n v="4"/>
    <n v="25"/>
    <n v="100"/>
    <x v="189"/>
  </r>
  <r>
    <n v="288"/>
    <x v="197"/>
    <s v="CUST288"/>
    <s v="Male"/>
    <n v="28"/>
    <s v="Clothing"/>
    <n v="4"/>
    <n v="30"/>
    <n v="120"/>
    <x v="197"/>
  </r>
  <r>
    <n v="289"/>
    <x v="198"/>
    <s v="CUST289"/>
    <s v="Male"/>
    <n v="53"/>
    <s v="Electronics"/>
    <n v="2"/>
    <n v="30"/>
    <n v="60"/>
    <x v="198"/>
  </r>
  <r>
    <n v="290"/>
    <x v="135"/>
    <s v="CUST290"/>
    <s v="Female"/>
    <n v="30"/>
    <s v="Beauty"/>
    <n v="2"/>
    <n v="300"/>
    <n v="600"/>
    <x v="135"/>
  </r>
  <r>
    <n v="291"/>
    <x v="199"/>
    <s v="CUST291"/>
    <s v="Male"/>
    <n v="60"/>
    <s v="Clothing"/>
    <n v="2"/>
    <n v="300"/>
    <n v="600"/>
    <x v="199"/>
  </r>
  <r>
    <n v="292"/>
    <x v="15"/>
    <s v="CUST292"/>
    <s v="Male"/>
    <n v="20"/>
    <s v="Beauty"/>
    <n v="4"/>
    <n v="300"/>
    <n v="1200"/>
    <x v="15"/>
  </r>
  <r>
    <n v="293"/>
    <x v="173"/>
    <s v="CUST293"/>
    <s v="Male"/>
    <n v="50"/>
    <s v="Electronics"/>
    <n v="3"/>
    <n v="30"/>
    <n v="90"/>
    <x v="173"/>
  </r>
  <r>
    <n v="294"/>
    <x v="200"/>
    <s v="CUST294"/>
    <s v="Female"/>
    <n v="23"/>
    <s v="Clothing"/>
    <n v="3"/>
    <n v="30"/>
    <n v="90"/>
    <x v="200"/>
  </r>
  <r>
    <n v="295"/>
    <x v="180"/>
    <s v="CUST295"/>
    <s v="Female"/>
    <n v="27"/>
    <s v="Beauty"/>
    <n v="3"/>
    <n v="300"/>
    <n v="900"/>
    <x v="180"/>
  </r>
  <r>
    <n v="296"/>
    <x v="147"/>
    <s v="CUST296"/>
    <s v="Female"/>
    <n v="22"/>
    <s v="Clothing"/>
    <n v="4"/>
    <n v="300"/>
    <n v="1200"/>
    <x v="147"/>
  </r>
  <r>
    <n v="297"/>
    <x v="201"/>
    <s v="CUST297"/>
    <s v="Female"/>
    <n v="40"/>
    <s v="Electronics"/>
    <n v="2"/>
    <n v="500"/>
    <n v="1000"/>
    <x v="201"/>
  </r>
  <r>
    <n v="298"/>
    <x v="175"/>
    <s v="CUST298"/>
    <s v="Male"/>
    <n v="27"/>
    <s v="Beauty"/>
    <n v="4"/>
    <n v="300"/>
    <n v="1200"/>
    <x v="175"/>
  </r>
  <r>
    <n v="299"/>
    <x v="87"/>
    <s v="CUST299"/>
    <s v="Male"/>
    <n v="61"/>
    <s v="Electronics"/>
    <n v="2"/>
    <n v="500"/>
    <n v="1000"/>
    <x v="87"/>
  </r>
  <r>
    <n v="300"/>
    <x v="169"/>
    <s v="CUST300"/>
    <s v="Female"/>
    <n v="19"/>
    <s v="Electronics"/>
    <n v="4"/>
    <n v="50"/>
    <n v="200"/>
    <x v="169"/>
  </r>
  <r>
    <n v="301"/>
    <x v="154"/>
    <s v="CUST301"/>
    <s v="Male"/>
    <n v="30"/>
    <s v="Clothing"/>
    <n v="4"/>
    <n v="30"/>
    <n v="120"/>
    <x v="154"/>
  </r>
  <r>
    <n v="302"/>
    <x v="37"/>
    <s v="CUST302"/>
    <s v="Male"/>
    <n v="57"/>
    <s v="Beauty"/>
    <n v="2"/>
    <n v="300"/>
    <n v="600"/>
    <x v="37"/>
  </r>
  <r>
    <n v="303"/>
    <x v="126"/>
    <s v="CUST303"/>
    <s v="Male"/>
    <n v="19"/>
    <s v="Electronics"/>
    <n v="3"/>
    <n v="30"/>
    <n v="90"/>
    <x v="126"/>
  </r>
  <r>
    <n v="304"/>
    <x v="202"/>
    <s v="CUST304"/>
    <s v="Female"/>
    <n v="37"/>
    <s v="Electronics"/>
    <n v="2"/>
    <n v="30"/>
    <n v="60"/>
    <x v="202"/>
  </r>
  <r>
    <n v="305"/>
    <x v="42"/>
    <s v="CUST305"/>
    <s v="Female"/>
    <n v="18"/>
    <s v="Beauty"/>
    <n v="1"/>
    <n v="30"/>
    <n v="30"/>
    <x v="42"/>
  </r>
  <r>
    <n v="306"/>
    <x v="63"/>
    <s v="CUST306"/>
    <s v="Male"/>
    <n v="54"/>
    <s v="Electronics"/>
    <n v="1"/>
    <n v="50"/>
    <n v="50"/>
    <x v="63"/>
  </r>
  <r>
    <n v="307"/>
    <x v="203"/>
    <s v="CUST307"/>
    <s v="Female"/>
    <n v="26"/>
    <s v="Electronics"/>
    <n v="2"/>
    <n v="25"/>
    <n v="50"/>
    <x v="203"/>
  </r>
  <r>
    <n v="308"/>
    <x v="12"/>
    <s v="CUST308"/>
    <s v="Female"/>
    <n v="34"/>
    <s v="Beauty"/>
    <n v="4"/>
    <n v="300"/>
    <n v="1200"/>
    <x v="12"/>
  </r>
  <r>
    <n v="309"/>
    <x v="204"/>
    <s v="CUST309"/>
    <s v="Female"/>
    <n v="26"/>
    <s v="Beauty"/>
    <n v="1"/>
    <n v="25"/>
    <n v="25"/>
    <x v="204"/>
  </r>
  <r>
    <n v="310"/>
    <x v="205"/>
    <s v="CUST310"/>
    <s v="Female"/>
    <n v="28"/>
    <s v="Beauty"/>
    <n v="1"/>
    <n v="25"/>
    <n v="25"/>
    <x v="205"/>
  </r>
  <r>
    <n v="311"/>
    <x v="59"/>
    <s v="CUST311"/>
    <s v="Female"/>
    <n v="32"/>
    <s v="Beauty"/>
    <n v="4"/>
    <n v="25"/>
    <n v="100"/>
    <x v="59"/>
  </r>
  <r>
    <n v="312"/>
    <x v="206"/>
    <s v="CUST312"/>
    <s v="Male"/>
    <n v="41"/>
    <s v="Clothing"/>
    <n v="4"/>
    <n v="30"/>
    <n v="120"/>
    <x v="206"/>
  </r>
  <r>
    <n v="313"/>
    <x v="34"/>
    <s v="CUST313"/>
    <s v="Female"/>
    <n v="55"/>
    <s v="Beauty"/>
    <n v="3"/>
    <n v="500"/>
    <n v="1500"/>
    <x v="34"/>
  </r>
  <r>
    <n v="314"/>
    <x v="181"/>
    <s v="CUST314"/>
    <s v="Male"/>
    <n v="52"/>
    <s v="Clothing"/>
    <n v="4"/>
    <n v="30"/>
    <n v="120"/>
    <x v="181"/>
  </r>
  <r>
    <n v="315"/>
    <x v="207"/>
    <s v="CUST315"/>
    <s v="Male"/>
    <n v="47"/>
    <s v="Clothing"/>
    <n v="2"/>
    <n v="30"/>
    <n v="60"/>
    <x v="207"/>
  </r>
  <r>
    <n v="316"/>
    <x v="16"/>
    <s v="CUST316"/>
    <s v="Female"/>
    <n v="48"/>
    <s v="Clothing"/>
    <n v="2"/>
    <n v="25"/>
    <n v="50"/>
    <x v="16"/>
  </r>
  <r>
    <n v="317"/>
    <x v="144"/>
    <s v="CUST317"/>
    <s v="Male"/>
    <n v="22"/>
    <s v="Electronics"/>
    <n v="3"/>
    <n v="30"/>
    <n v="90"/>
    <x v="144"/>
  </r>
  <r>
    <n v="318"/>
    <x v="208"/>
    <s v="CUST318"/>
    <s v="Male"/>
    <n v="61"/>
    <s v="Clothing"/>
    <n v="1"/>
    <n v="25"/>
    <n v="25"/>
    <x v="208"/>
  </r>
  <r>
    <n v="319"/>
    <x v="209"/>
    <s v="CUST319"/>
    <s v="Male"/>
    <n v="31"/>
    <s v="Clothing"/>
    <n v="1"/>
    <n v="500"/>
    <n v="500"/>
    <x v="209"/>
  </r>
  <r>
    <n v="320"/>
    <x v="190"/>
    <s v="CUST320"/>
    <s v="Female"/>
    <n v="28"/>
    <s v="Electronics"/>
    <n v="4"/>
    <n v="300"/>
    <n v="1200"/>
    <x v="190"/>
  </r>
  <r>
    <n v="321"/>
    <x v="210"/>
    <s v="CUST321"/>
    <s v="Female"/>
    <n v="26"/>
    <s v="Electronics"/>
    <n v="2"/>
    <n v="25"/>
    <n v="50"/>
    <x v="210"/>
  </r>
  <r>
    <n v="322"/>
    <x v="144"/>
    <s v="CUST322"/>
    <s v="Male"/>
    <n v="51"/>
    <s v="Electronics"/>
    <n v="1"/>
    <n v="500"/>
    <n v="500"/>
    <x v="144"/>
  </r>
  <r>
    <n v="323"/>
    <x v="197"/>
    <s v="CUST323"/>
    <s v="Female"/>
    <n v="29"/>
    <s v="Beauty"/>
    <n v="3"/>
    <n v="300"/>
    <n v="900"/>
    <x v="197"/>
  </r>
  <r>
    <n v="324"/>
    <x v="101"/>
    <s v="CUST324"/>
    <s v="Female"/>
    <n v="52"/>
    <s v="Electronics"/>
    <n v="3"/>
    <n v="50"/>
    <n v="150"/>
    <x v="101"/>
  </r>
  <r>
    <n v="325"/>
    <x v="211"/>
    <s v="CUST325"/>
    <s v="Female"/>
    <n v="52"/>
    <s v="Electronics"/>
    <n v="2"/>
    <n v="25"/>
    <n v="50"/>
    <x v="211"/>
  </r>
  <r>
    <n v="326"/>
    <x v="212"/>
    <s v="CUST326"/>
    <s v="Female"/>
    <n v="18"/>
    <s v="Clothing"/>
    <n v="3"/>
    <n v="25"/>
    <n v="75"/>
    <x v="212"/>
  </r>
  <r>
    <n v="327"/>
    <x v="136"/>
    <s v="CUST327"/>
    <s v="Male"/>
    <n v="57"/>
    <s v="Electronics"/>
    <n v="3"/>
    <n v="50"/>
    <n v="150"/>
    <x v="136"/>
  </r>
  <r>
    <n v="328"/>
    <x v="125"/>
    <s v="CUST328"/>
    <s v="Male"/>
    <n v="39"/>
    <s v="Beauty"/>
    <n v="2"/>
    <n v="50"/>
    <n v="100"/>
    <x v="125"/>
  </r>
  <r>
    <n v="329"/>
    <x v="144"/>
    <s v="CUST329"/>
    <s v="Female"/>
    <n v="46"/>
    <s v="Electronics"/>
    <n v="4"/>
    <n v="25"/>
    <n v="100"/>
    <x v="144"/>
  </r>
  <r>
    <n v="330"/>
    <x v="106"/>
    <s v="CUST330"/>
    <s v="Female"/>
    <n v="25"/>
    <s v="Beauty"/>
    <n v="4"/>
    <n v="50"/>
    <n v="200"/>
    <x v="106"/>
  </r>
  <r>
    <n v="331"/>
    <x v="213"/>
    <s v="CUST331"/>
    <s v="Male"/>
    <n v="28"/>
    <s v="Electronics"/>
    <n v="3"/>
    <n v="30"/>
    <n v="90"/>
    <x v="213"/>
  </r>
  <r>
    <n v="332"/>
    <x v="214"/>
    <s v="CUST332"/>
    <s v="Male"/>
    <n v="58"/>
    <s v="Electronics"/>
    <n v="4"/>
    <n v="300"/>
    <n v="1200"/>
    <x v="214"/>
  </r>
  <r>
    <n v="333"/>
    <x v="57"/>
    <s v="CUST333"/>
    <s v="Female"/>
    <n v="54"/>
    <s v="Electronics"/>
    <n v="4"/>
    <n v="300"/>
    <n v="1200"/>
    <x v="57"/>
  </r>
  <r>
    <n v="334"/>
    <x v="215"/>
    <s v="CUST334"/>
    <s v="Male"/>
    <n v="31"/>
    <s v="Electronics"/>
    <n v="3"/>
    <n v="300"/>
    <n v="900"/>
    <x v="215"/>
  </r>
  <r>
    <n v="335"/>
    <x v="170"/>
    <s v="CUST335"/>
    <s v="Female"/>
    <n v="47"/>
    <s v="Beauty"/>
    <n v="4"/>
    <n v="30"/>
    <n v="120"/>
    <x v="170"/>
  </r>
  <r>
    <n v="336"/>
    <x v="216"/>
    <s v="CUST336"/>
    <s v="Female"/>
    <n v="52"/>
    <s v="Beauty"/>
    <n v="3"/>
    <n v="50"/>
    <n v="150"/>
    <x v="216"/>
  </r>
  <r>
    <n v="337"/>
    <x v="217"/>
    <s v="CUST337"/>
    <s v="Male"/>
    <n v="38"/>
    <s v="Clothing"/>
    <n v="1"/>
    <n v="500"/>
    <n v="500"/>
    <x v="217"/>
  </r>
  <r>
    <n v="338"/>
    <x v="191"/>
    <s v="CUST338"/>
    <s v="Male"/>
    <n v="54"/>
    <s v="Beauty"/>
    <n v="2"/>
    <n v="50"/>
    <n v="100"/>
    <x v="191"/>
  </r>
  <r>
    <n v="339"/>
    <x v="163"/>
    <s v="CUST339"/>
    <s v="Female"/>
    <n v="22"/>
    <s v="Electronics"/>
    <n v="2"/>
    <n v="25"/>
    <n v="50"/>
    <x v="163"/>
  </r>
  <r>
    <n v="340"/>
    <x v="218"/>
    <s v="CUST340"/>
    <s v="Female"/>
    <n v="36"/>
    <s v="Clothing"/>
    <n v="4"/>
    <n v="300"/>
    <n v="1200"/>
    <x v="218"/>
  </r>
  <r>
    <n v="341"/>
    <x v="98"/>
    <s v="CUST341"/>
    <s v="Male"/>
    <n v="31"/>
    <s v="Clothing"/>
    <n v="4"/>
    <n v="50"/>
    <n v="200"/>
    <x v="98"/>
  </r>
  <r>
    <n v="342"/>
    <x v="208"/>
    <s v="CUST342"/>
    <s v="Female"/>
    <n v="43"/>
    <s v="Clothing"/>
    <n v="4"/>
    <n v="500"/>
    <n v="2000"/>
    <x v="208"/>
  </r>
  <r>
    <n v="343"/>
    <x v="215"/>
    <s v="CUST343"/>
    <s v="Male"/>
    <n v="21"/>
    <s v="Electronics"/>
    <n v="2"/>
    <n v="25"/>
    <n v="50"/>
    <x v="215"/>
  </r>
  <r>
    <n v="344"/>
    <x v="219"/>
    <s v="CUST344"/>
    <s v="Female"/>
    <n v="42"/>
    <s v="Beauty"/>
    <n v="1"/>
    <n v="30"/>
    <n v="30"/>
    <x v="219"/>
  </r>
  <r>
    <n v="345"/>
    <x v="220"/>
    <s v="CUST345"/>
    <s v="Male"/>
    <n v="62"/>
    <s v="Electronics"/>
    <n v="1"/>
    <n v="30"/>
    <n v="30"/>
    <x v="220"/>
  </r>
  <r>
    <n v="346"/>
    <x v="213"/>
    <s v="CUST346"/>
    <s v="Male"/>
    <n v="59"/>
    <s v="Clothing"/>
    <n v="2"/>
    <n v="500"/>
    <n v="1000"/>
    <x v="213"/>
  </r>
  <r>
    <n v="347"/>
    <x v="25"/>
    <s v="CUST347"/>
    <s v="Male"/>
    <n v="42"/>
    <s v="Electronics"/>
    <n v="1"/>
    <n v="25"/>
    <n v="25"/>
    <x v="25"/>
  </r>
  <r>
    <n v="348"/>
    <x v="221"/>
    <s v="CUST348"/>
    <s v="Female"/>
    <n v="35"/>
    <s v="Electronics"/>
    <n v="2"/>
    <n v="300"/>
    <n v="600"/>
    <x v="221"/>
  </r>
  <r>
    <n v="349"/>
    <x v="103"/>
    <s v="CUST349"/>
    <s v="Female"/>
    <n v="57"/>
    <s v="Beauty"/>
    <n v="1"/>
    <n v="50"/>
    <n v="50"/>
    <x v="103"/>
  </r>
  <r>
    <n v="350"/>
    <x v="222"/>
    <s v="CUST350"/>
    <s v="Male"/>
    <n v="25"/>
    <s v="Beauty"/>
    <n v="3"/>
    <n v="25"/>
    <n v="75"/>
    <x v="222"/>
  </r>
  <r>
    <n v="351"/>
    <x v="223"/>
    <s v="CUST351"/>
    <s v="Female"/>
    <n v="56"/>
    <s v="Clothing"/>
    <n v="3"/>
    <n v="30"/>
    <n v="90"/>
    <x v="223"/>
  </r>
  <r>
    <n v="352"/>
    <x v="86"/>
    <s v="CUST352"/>
    <s v="Male"/>
    <n v="57"/>
    <s v="Electronics"/>
    <n v="2"/>
    <n v="500"/>
    <n v="1000"/>
    <x v="86"/>
  </r>
  <r>
    <n v="353"/>
    <x v="224"/>
    <s v="CUST353"/>
    <s v="Male"/>
    <n v="31"/>
    <s v="Electronics"/>
    <n v="1"/>
    <n v="500"/>
    <n v="500"/>
    <x v="224"/>
  </r>
  <r>
    <n v="354"/>
    <x v="225"/>
    <s v="CUST354"/>
    <s v="Female"/>
    <n v="49"/>
    <s v="Beauty"/>
    <n v="4"/>
    <n v="50"/>
    <n v="200"/>
    <x v="225"/>
  </r>
  <r>
    <n v="355"/>
    <x v="174"/>
    <s v="CUST355"/>
    <s v="Female"/>
    <n v="55"/>
    <s v="Electronics"/>
    <n v="1"/>
    <n v="500"/>
    <n v="500"/>
    <x v="174"/>
  </r>
  <r>
    <n v="356"/>
    <x v="210"/>
    <s v="CUST356"/>
    <s v="Male"/>
    <n v="50"/>
    <s v="Electronics"/>
    <n v="3"/>
    <n v="500"/>
    <n v="1500"/>
    <x v="210"/>
  </r>
  <r>
    <n v="357"/>
    <x v="143"/>
    <s v="CUST357"/>
    <s v="Female"/>
    <n v="40"/>
    <s v="Electronics"/>
    <n v="3"/>
    <n v="25"/>
    <n v="75"/>
    <x v="143"/>
  </r>
  <r>
    <n v="358"/>
    <x v="42"/>
    <s v="CUST358"/>
    <s v="Female"/>
    <n v="32"/>
    <s v="Beauty"/>
    <n v="1"/>
    <n v="300"/>
    <n v="300"/>
    <x v="42"/>
  </r>
  <r>
    <n v="359"/>
    <x v="94"/>
    <s v="CUST359"/>
    <s v="Male"/>
    <n v="50"/>
    <s v="Clothing"/>
    <n v="1"/>
    <n v="50"/>
    <n v="50"/>
    <x v="94"/>
  </r>
  <r>
    <n v="360"/>
    <x v="176"/>
    <s v="CUST360"/>
    <s v="Male"/>
    <n v="42"/>
    <s v="Clothing"/>
    <n v="4"/>
    <n v="25"/>
    <n v="100"/>
    <x v="176"/>
  </r>
  <r>
    <n v="361"/>
    <x v="70"/>
    <s v="CUST361"/>
    <s v="Female"/>
    <n v="34"/>
    <s v="Electronics"/>
    <n v="4"/>
    <n v="300"/>
    <n v="1200"/>
    <x v="70"/>
  </r>
  <r>
    <n v="362"/>
    <x v="188"/>
    <s v="CUST362"/>
    <s v="Male"/>
    <n v="50"/>
    <s v="Clothing"/>
    <n v="1"/>
    <n v="25"/>
    <n v="25"/>
    <x v="188"/>
  </r>
  <r>
    <n v="363"/>
    <x v="226"/>
    <s v="CUST363"/>
    <s v="Male"/>
    <n v="64"/>
    <s v="Beauty"/>
    <n v="1"/>
    <n v="25"/>
    <n v="25"/>
    <x v="226"/>
  </r>
  <r>
    <n v="364"/>
    <x v="96"/>
    <s v="CUST364"/>
    <s v="Female"/>
    <n v="19"/>
    <s v="Beauty"/>
    <n v="1"/>
    <n v="500"/>
    <n v="500"/>
    <x v="96"/>
  </r>
  <r>
    <n v="365"/>
    <x v="86"/>
    <s v="CUST365"/>
    <s v="Male"/>
    <n v="31"/>
    <s v="Clothing"/>
    <n v="1"/>
    <n v="300"/>
    <n v="300"/>
    <x v="86"/>
  </r>
  <r>
    <n v="366"/>
    <x v="227"/>
    <s v="CUST366"/>
    <s v="Male"/>
    <n v="57"/>
    <s v="Clothing"/>
    <n v="2"/>
    <n v="50"/>
    <n v="100"/>
    <x v="227"/>
  </r>
  <r>
    <n v="367"/>
    <x v="228"/>
    <s v="CUST367"/>
    <s v="Female"/>
    <n v="57"/>
    <s v="Electronics"/>
    <n v="1"/>
    <n v="50"/>
    <n v="50"/>
    <x v="228"/>
  </r>
  <r>
    <n v="368"/>
    <x v="96"/>
    <s v="CUST368"/>
    <s v="Female"/>
    <n v="56"/>
    <s v="Clothing"/>
    <n v="4"/>
    <n v="300"/>
    <n v="1200"/>
    <x v="96"/>
  </r>
  <r>
    <n v="369"/>
    <x v="229"/>
    <s v="CUST369"/>
    <s v="Male"/>
    <n v="23"/>
    <s v="Electronics"/>
    <n v="3"/>
    <n v="500"/>
    <n v="1500"/>
    <x v="229"/>
  </r>
  <r>
    <n v="370"/>
    <x v="230"/>
    <s v="CUST370"/>
    <s v="Male"/>
    <n v="23"/>
    <s v="Electronics"/>
    <n v="2"/>
    <n v="30"/>
    <n v="60"/>
    <x v="230"/>
  </r>
  <r>
    <n v="371"/>
    <x v="62"/>
    <s v="CUST371"/>
    <s v="Female"/>
    <n v="20"/>
    <s v="Beauty"/>
    <n v="1"/>
    <n v="25"/>
    <n v="25"/>
    <x v="62"/>
  </r>
  <r>
    <n v="372"/>
    <x v="227"/>
    <s v="CUST372"/>
    <s v="Female"/>
    <n v="24"/>
    <s v="Beauty"/>
    <n v="3"/>
    <n v="500"/>
    <n v="1500"/>
    <x v="227"/>
  </r>
  <r>
    <n v="373"/>
    <x v="99"/>
    <s v="CUST373"/>
    <s v="Female"/>
    <n v="25"/>
    <s v="Beauty"/>
    <n v="2"/>
    <n v="300"/>
    <n v="600"/>
    <x v="99"/>
  </r>
  <r>
    <n v="374"/>
    <x v="175"/>
    <s v="CUST374"/>
    <s v="Female"/>
    <n v="59"/>
    <s v="Beauty"/>
    <n v="3"/>
    <n v="25"/>
    <n v="75"/>
    <x v="175"/>
  </r>
  <r>
    <n v="375"/>
    <x v="129"/>
    <s v="CUST375"/>
    <s v="Male"/>
    <n v="32"/>
    <s v="Clothing"/>
    <n v="1"/>
    <n v="50"/>
    <n v="50"/>
    <x v="129"/>
  </r>
  <r>
    <n v="376"/>
    <x v="42"/>
    <s v="CUST376"/>
    <s v="Female"/>
    <n v="64"/>
    <s v="Beauty"/>
    <n v="1"/>
    <n v="30"/>
    <n v="30"/>
    <x v="42"/>
  </r>
  <r>
    <n v="377"/>
    <x v="176"/>
    <s v="CUST377"/>
    <s v="Female"/>
    <n v="46"/>
    <s v="Clothing"/>
    <n v="4"/>
    <n v="50"/>
    <n v="200"/>
    <x v="176"/>
  </r>
  <r>
    <n v="378"/>
    <x v="231"/>
    <s v="CUST378"/>
    <s v="Male"/>
    <n v="50"/>
    <s v="Beauty"/>
    <n v="1"/>
    <n v="300"/>
    <n v="300"/>
    <x v="231"/>
  </r>
  <r>
    <n v="379"/>
    <x v="57"/>
    <s v="CUST379"/>
    <s v="Female"/>
    <n v="47"/>
    <s v="Clothing"/>
    <n v="1"/>
    <n v="25"/>
    <n v="25"/>
    <x v="57"/>
  </r>
  <r>
    <n v="380"/>
    <x v="4"/>
    <s v="CUST380"/>
    <s v="Male"/>
    <n v="56"/>
    <s v="Electronics"/>
    <n v="2"/>
    <n v="300"/>
    <n v="600"/>
    <x v="4"/>
  </r>
  <r>
    <n v="381"/>
    <x v="67"/>
    <s v="CUST381"/>
    <s v="Female"/>
    <n v="44"/>
    <s v="Clothing"/>
    <n v="4"/>
    <n v="25"/>
    <n v="100"/>
    <x v="67"/>
  </r>
  <r>
    <n v="382"/>
    <x v="232"/>
    <s v="CUST382"/>
    <s v="Female"/>
    <n v="53"/>
    <s v="Clothing"/>
    <n v="2"/>
    <n v="500"/>
    <n v="1000"/>
    <x v="232"/>
  </r>
  <r>
    <n v="383"/>
    <x v="125"/>
    <s v="CUST383"/>
    <s v="Female"/>
    <n v="46"/>
    <s v="Beauty"/>
    <n v="3"/>
    <n v="30"/>
    <n v="90"/>
    <x v="125"/>
  </r>
  <r>
    <n v="384"/>
    <x v="160"/>
    <s v="CUST384"/>
    <s v="Male"/>
    <n v="55"/>
    <s v="Clothing"/>
    <n v="1"/>
    <n v="500"/>
    <n v="500"/>
    <x v="160"/>
  </r>
  <r>
    <n v="385"/>
    <x v="233"/>
    <s v="CUST385"/>
    <s v="Male"/>
    <n v="50"/>
    <s v="Electronics"/>
    <n v="3"/>
    <n v="500"/>
    <n v="1500"/>
    <x v="233"/>
  </r>
  <r>
    <n v="386"/>
    <x v="56"/>
    <s v="CUST386"/>
    <s v="Female"/>
    <n v="54"/>
    <s v="Electronics"/>
    <n v="2"/>
    <n v="300"/>
    <n v="600"/>
    <x v="56"/>
  </r>
  <r>
    <n v="387"/>
    <x v="234"/>
    <s v="CUST387"/>
    <s v="Male"/>
    <n v="44"/>
    <s v="Beauty"/>
    <n v="1"/>
    <n v="30"/>
    <n v="30"/>
    <x v="234"/>
  </r>
  <r>
    <n v="388"/>
    <x v="235"/>
    <s v="CUST388"/>
    <s v="Male"/>
    <n v="50"/>
    <s v="Electronics"/>
    <n v="1"/>
    <n v="25"/>
    <n v="25"/>
    <x v="235"/>
  </r>
  <r>
    <n v="389"/>
    <x v="187"/>
    <s v="CUST389"/>
    <s v="Male"/>
    <n v="21"/>
    <s v="Clothing"/>
    <n v="2"/>
    <n v="25"/>
    <n v="50"/>
    <x v="187"/>
  </r>
  <r>
    <n v="390"/>
    <x v="118"/>
    <s v="CUST390"/>
    <s v="Male"/>
    <n v="39"/>
    <s v="Electronics"/>
    <n v="2"/>
    <n v="50"/>
    <n v="100"/>
    <x v="118"/>
  </r>
  <r>
    <n v="391"/>
    <x v="228"/>
    <s v="CUST391"/>
    <s v="Male"/>
    <n v="19"/>
    <s v="Beauty"/>
    <n v="2"/>
    <n v="25"/>
    <n v="50"/>
    <x v="228"/>
  </r>
  <r>
    <n v="392"/>
    <x v="236"/>
    <s v="CUST392"/>
    <s v="Male"/>
    <n v="27"/>
    <s v="Clothing"/>
    <n v="2"/>
    <n v="300"/>
    <n v="600"/>
    <x v="236"/>
  </r>
  <r>
    <n v="393"/>
    <x v="120"/>
    <s v="CUST393"/>
    <s v="Female"/>
    <n v="22"/>
    <s v="Beauty"/>
    <n v="2"/>
    <n v="500"/>
    <n v="1000"/>
    <x v="120"/>
  </r>
  <r>
    <n v="394"/>
    <x v="226"/>
    <s v="CUST394"/>
    <s v="Female"/>
    <n v="27"/>
    <s v="Clothing"/>
    <n v="1"/>
    <n v="500"/>
    <n v="500"/>
    <x v="226"/>
  </r>
  <r>
    <n v="395"/>
    <x v="237"/>
    <s v="CUST395"/>
    <s v="Male"/>
    <n v="50"/>
    <s v="Electronics"/>
    <n v="2"/>
    <n v="500"/>
    <n v="1000"/>
    <x v="237"/>
  </r>
  <r>
    <n v="396"/>
    <x v="238"/>
    <s v="CUST396"/>
    <s v="Female"/>
    <n v="55"/>
    <s v="Beauty"/>
    <n v="1"/>
    <n v="30"/>
    <n v="30"/>
    <x v="238"/>
  </r>
  <r>
    <n v="397"/>
    <x v="239"/>
    <s v="CUST397"/>
    <s v="Female"/>
    <n v="30"/>
    <s v="Beauty"/>
    <n v="1"/>
    <n v="25"/>
    <n v="25"/>
    <x v="239"/>
  </r>
  <r>
    <n v="398"/>
    <x v="42"/>
    <s v="CUST398"/>
    <s v="Female"/>
    <n v="48"/>
    <s v="Clothing"/>
    <n v="2"/>
    <n v="300"/>
    <n v="600"/>
    <x v="42"/>
  </r>
  <r>
    <n v="399"/>
    <x v="240"/>
    <s v="CUST399"/>
    <s v="Female"/>
    <n v="64"/>
    <s v="Beauty"/>
    <n v="2"/>
    <n v="30"/>
    <n v="60"/>
    <x v="240"/>
  </r>
  <r>
    <n v="400"/>
    <x v="130"/>
    <s v="CUST400"/>
    <s v="Male"/>
    <n v="53"/>
    <s v="Clothing"/>
    <n v="4"/>
    <n v="50"/>
    <n v="200"/>
    <x v="130"/>
  </r>
  <r>
    <n v="401"/>
    <x v="120"/>
    <s v="CUST401"/>
    <s v="Female"/>
    <n v="62"/>
    <s v="Clothing"/>
    <n v="1"/>
    <n v="300"/>
    <n v="300"/>
    <x v="120"/>
  </r>
  <r>
    <n v="402"/>
    <x v="34"/>
    <s v="CUST402"/>
    <s v="Female"/>
    <n v="41"/>
    <s v="Clothing"/>
    <n v="2"/>
    <n v="300"/>
    <n v="600"/>
    <x v="34"/>
  </r>
  <r>
    <n v="403"/>
    <x v="241"/>
    <s v="CUST403"/>
    <s v="Male"/>
    <n v="32"/>
    <s v="Clothing"/>
    <n v="2"/>
    <n v="300"/>
    <n v="600"/>
    <x v="241"/>
  </r>
  <r>
    <n v="404"/>
    <x v="242"/>
    <s v="CUST404"/>
    <s v="Male"/>
    <n v="46"/>
    <s v="Electronics"/>
    <n v="2"/>
    <n v="500"/>
    <n v="1000"/>
    <x v="242"/>
  </r>
  <r>
    <n v="405"/>
    <x v="41"/>
    <s v="CUST405"/>
    <s v="Female"/>
    <n v="25"/>
    <s v="Clothing"/>
    <n v="4"/>
    <n v="300"/>
    <n v="1200"/>
    <x v="41"/>
  </r>
  <r>
    <n v="406"/>
    <x v="69"/>
    <s v="CUST406"/>
    <s v="Female"/>
    <n v="22"/>
    <s v="Beauty"/>
    <n v="4"/>
    <n v="25"/>
    <n v="100"/>
    <x v="69"/>
  </r>
  <r>
    <n v="407"/>
    <x v="243"/>
    <s v="CUST407"/>
    <s v="Female"/>
    <n v="46"/>
    <s v="Electronics"/>
    <n v="3"/>
    <n v="300"/>
    <n v="900"/>
    <x v="243"/>
  </r>
  <r>
    <n v="408"/>
    <x v="225"/>
    <s v="CUST408"/>
    <s v="Female"/>
    <n v="64"/>
    <s v="Beauty"/>
    <n v="1"/>
    <n v="500"/>
    <n v="500"/>
    <x v="225"/>
  </r>
  <r>
    <n v="409"/>
    <x v="244"/>
    <s v="CUST409"/>
    <s v="Female"/>
    <n v="21"/>
    <s v="Electronics"/>
    <n v="3"/>
    <n v="300"/>
    <n v="900"/>
    <x v="244"/>
  </r>
  <r>
    <n v="410"/>
    <x v="245"/>
    <s v="CUST410"/>
    <s v="Female"/>
    <n v="29"/>
    <s v="Clothing"/>
    <n v="2"/>
    <n v="50"/>
    <n v="100"/>
    <x v="245"/>
  </r>
  <r>
    <n v="411"/>
    <x v="42"/>
    <s v="CUST411"/>
    <s v="Male"/>
    <n v="62"/>
    <s v="Electronics"/>
    <n v="4"/>
    <n v="50"/>
    <n v="200"/>
    <x v="42"/>
  </r>
  <r>
    <n v="412"/>
    <x v="18"/>
    <s v="CUST412"/>
    <s v="Female"/>
    <n v="19"/>
    <s v="Electronics"/>
    <n v="4"/>
    <n v="500"/>
    <n v="2000"/>
    <x v="18"/>
  </r>
  <r>
    <n v="413"/>
    <x v="140"/>
    <s v="CUST413"/>
    <s v="Female"/>
    <n v="44"/>
    <s v="Beauty"/>
    <n v="3"/>
    <n v="25"/>
    <n v="75"/>
    <x v="140"/>
  </r>
  <r>
    <n v="414"/>
    <x v="119"/>
    <s v="CUST414"/>
    <s v="Male"/>
    <n v="48"/>
    <s v="Beauty"/>
    <n v="4"/>
    <n v="25"/>
    <n v="100"/>
    <x v="119"/>
  </r>
  <r>
    <n v="415"/>
    <x v="246"/>
    <s v="CUST415"/>
    <s v="Male"/>
    <n v="53"/>
    <s v="Clothing"/>
    <n v="2"/>
    <n v="30"/>
    <n v="60"/>
    <x v="246"/>
  </r>
  <r>
    <n v="416"/>
    <x v="15"/>
    <s v="CUST416"/>
    <s v="Male"/>
    <n v="53"/>
    <s v="Electronics"/>
    <n v="4"/>
    <n v="500"/>
    <n v="2000"/>
    <x v="15"/>
  </r>
  <r>
    <n v="417"/>
    <x v="245"/>
    <s v="CUST417"/>
    <s v="Male"/>
    <n v="43"/>
    <s v="Electronics"/>
    <n v="3"/>
    <n v="300"/>
    <n v="900"/>
    <x v="245"/>
  </r>
  <r>
    <n v="418"/>
    <x v="12"/>
    <s v="CUST418"/>
    <s v="Female"/>
    <n v="60"/>
    <s v="Electronics"/>
    <n v="2"/>
    <n v="500"/>
    <n v="1000"/>
    <x v="12"/>
  </r>
  <r>
    <n v="419"/>
    <x v="247"/>
    <s v="CUST419"/>
    <s v="Female"/>
    <n v="44"/>
    <s v="Clothing"/>
    <n v="3"/>
    <n v="30"/>
    <n v="90"/>
    <x v="247"/>
  </r>
  <r>
    <n v="420"/>
    <x v="43"/>
    <s v="CUST420"/>
    <s v="Female"/>
    <n v="22"/>
    <s v="Clothing"/>
    <n v="4"/>
    <n v="500"/>
    <n v="2000"/>
    <x v="43"/>
  </r>
  <r>
    <n v="421"/>
    <x v="126"/>
    <s v="CUST421"/>
    <s v="Female"/>
    <n v="37"/>
    <s v="Clothing"/>
    <n v="3"/>
    <n v="500"/>
    <n v="1500"/>
    <x v="126"/>
  </r>
  <r>
    <n v="422"/>
    <x v="248"/>
    <s v="CUST422"/>
    <s v="Female"/>
    <n v="28"/>
    <s v="Clothing"/>
    <n v="3"/>
    <n v="30"/>
    <n v="90"/>
    <x v="248"/>
  </r>
  <r>
    <n v="423"/>
    <x v="249"/>
    <s v="CUST423"/>
    <s v="Female"/>
    <n v="27"/>
    <s v="Clothing"/>
    <n v="1"/>
    <n v="25"/>
    <n v="25"/>
    <x v="249"/>
  </r>
  <r>
    <n v="424"/>
    <x v="250"/>
    <s v="CUST424"/>
    <s v="Male"/>
    <n v="57"/>
    <s v="Beauty"/>
    <n v="4"/>
    <n v="300"/>
    <n v="1200"/>
    <x v="250"/>
  </r>
  <r>
    <n v="425"/>
    <x v="100"/>
    <s v="CUST425"/>
    <s v="Female"/>
    <n v="55"/>
    <s v="Electronics"/>
    <n v="4"/>
    <n v="30"/>
    <n v="120"/>
    <x v="100"/>
  </r>
  <r>
    <n v="426"/>
    <x v="134"/>
    <s v="CUST426"/>
    <s v="Male"/>
    <n v="23"/>
    <s v="Electronics"/>
    <n v="3"/>
    <n v="50"/>
    <n v="150"/>
    <x v="134"/>
  </r>
  <r>
    <n v="427"/>
    <x v="196"/>
    <s v="CUST427"/>
    <s v="Male"/>
    <n v="25"/>
    <s v="Electronics"/>
    <n v="1"/>
    <n v="25"/>
    <n v="25"/>
    <x v="196"/>
  </r>
  <r>
    <n v="428"/>
    <x v="49"/>
    <s v="CUST428"/>
    <s v="Female"/>
    <n v="40"/>
    <s v="Electronics"/>
    <n v="4"/>
    <n v="50"/>
    <n v="200"/>
    <x v="49"/>
  </r>
  <r>
    <n v="429"/>
    <x v="251"/>
    <s v="CUST429"/>
    <s v="Male"/>
    <n v="64"/>
    <s v="Electronics"/>
    <n v="2"/>
    <n v="25"/>
    <n v="50"/>
    <x v="251"/>
  </r>
  <r>
    <n v="430"/>
    <x v="252"/>
    <s v="CUST430"/>
    <s v="Female"/>
    <n v="43"/>
    <s v="Electronics"/>
    <n v="3"/>
    <n v="300"/>
    <n v="900"/>
    <x v="252"/>
  </r>
  <r>
    <n v="431"/>
    <x v="21"/>
    <s v="CUST431"/>
    <s v="Male"/>
    <n v="63"/>
    <s v="Electronics"/>
    <n v="4"/>
    <n v="300"/>
    <n v="1200"/>
    <x v="21"/>
  </r>
  <r>
    <n v="432"/>
    <x v="228"/>
    <s v="CUST432"/>
    <s v="Female"/>
    <n v="60"/>
    <s v="Electronics"/>
    <n v="2"/>
    <n v="500"/>
    <n v="1000"/>
    <x v="228"/>
  </r>
  <r>
    <n v="433"/>
    <x v="1"/>
    <s v="CUST433"/>
    <s v="Male"/>
    <n v="29"/>
    <s v="Beauty"/>
    <n v="4"/>
    <n v="50"/>
    <n v="200"/>
    <x v="1"/>
  </r>
  <r>
    <n v="434"/>
    <x v="195"/>
    <s v="CUST434"/>
    <s v="Female"/>
    <n v="43"/>
    <s v="Electronics"/>
    <n v="2"/>
    <n v="25"/>
    <n v="50"/>
    <x v="195"/>
  </r>
  <r>
    <n v="435"/>
    <x v="156"/>
    <s v="CUST435"/>
    <s v="Female"/>
    <n v="30"/>
    <s v="Beauty"/>
    <n v="3"/>
    <n v="300"/>
    <n v="900"/>
    <x v="156"/>
  </r>
  <r>
    <n v="436"/>
    <x v="253"/>
    <s v="CUST436"/>
    <s v="Female"/>
    <n v="57"/>
    <s v="Clothing"/>
    <n v="4"/>
    <n v="30"/>
    <n v="120"/>
    <x v="253"/>
  </r>
  <r>
    <n v="437"/>
    <x v="9"/>
    <s v="CUST437"/>
    <s v="Female"/>
    <n v="35"/>
    <s v="Electronics"/>
    <n v="4"/>
    <n v="300"/>
    <n v="1200"/>
    <x v="9"/>
  </r>
  <r>
    <n v="438"/>
    <x v="254"/>
    <s v="CUST438"/>
    <s v="Female"/>
    <n v="42"/>
    <s v="Clothing"/>
    <n v="1"/>
    <n v="30"/>
    <n v="30"/>
    <x v="254"/>
  </r>
  <r>
    <n v="439"/>
    <x v="67"/>
    <s v="CUST439"/>
    <s v="Male"/>
    <n v="50"/>
    <s v="Clothing"/>
    <n v="3"/>
    <n v="25"/>
    <n v="75"/>
    <x v="67"/>
  </r>
  <r>
    <n v="440"/>
    <x v="103"/>
    <s v="CUST440"/>
    <s v="Male"/>
    <n v="64"/>
    <s v="Clothing"/>
    <n v="2"/>
    <n v="300"/>
    <n v="600"/>
    <x v="103"/>
  </r>
  <r>
    <n v="441"/>
    <x v="49"/>
    <s v="CUST441"/>
    <s v="Male"/>
    <n v="57"/>
    <s v="Beauty"/>
    <n v="4"/>
    <n v="300"/>
    <n v="1200"/>
    <x v="49"/>
  </r>
  <r>
    <n v="442"/>
    <x v="255"/>
    <s v="CUST442"/>
    <s v="Female"/>
    <n v="60"/>
    <s v="Clothing"/>
    <n v="4"/>
    <n v="25"/>
    <n v="100"/>
    <x v="255"/>
  </r>
  <r>
    <n v="443"/>
    <x v="183"/>
    <s v="CUST443"/>
    <s v="Male"/>
    <n v="29"/>
    <s v="Clothing"/>
    <n v="2"/>
    <n v="300"/>
    <n v="600"/>
    <x v="183"/>
  </r>
  <r>
    <n v="444"/>
    <x v="150"/>
    <s v="CUST444"/>
    <s v="Female"/>
    <n v="61"/>
    <s v="Clothing"/>
    <n v="3"/>
    <n v="30"/>
    <n v="90"/>
    <x v="150"/>
  </r>
  <r>
    <n v="445"/>
    <x v="256"/>
    <s v="CUST445"/>
    <s v="Female"/>
    <n v="53"/>
    <s v="Electronics"/>
    <n v="1"/>
    <n v="300"/>
    <n v="300"/>
    <x v="256"/>
  </r>
  <r>
    <n v="446"/>
    <x v="142"/>
    <s v="CUST446"/>
    <s v="Male"/>
    <n v="21"/>
    <s v="Electronics"/>
    <n v="1"/>
    <n v="50"/>
    <n v="50"/>
    <x v="142"/>
  </r>
  <r>
    <n v="447"/>
    <x v="65"/>
    <s v="CUST447"/>
    <s v="Male"/>
    <n v="22"/>
    <s v="Beauty"/>
    <n v="4"/>
    <n v="500"/>
    <n v="2000"/>
    <x v="65"/>
  </r>
  <r>
    <n v="448"/>
    <x v="219"/>
    <s v="CUST448"/>
    <s v="Female"/>
    <n v="54"/>
    <s v="Beauty"/>
    <n v="2"/>
    <n v="30"/>
    <n v="60"/>
    <x v="219"/>
  </r>
  <r>
    <n v="449"/>
    <x v="39"/>
    <s v="CUST449"/>
    <s v="Male"/>
    <n v="25"/>
    <s v="Electronics"/>
    <n v="4"/>
    <n v="50"/>
    <n v="200"/>
    <x v="39"/>
  </r>
  <r>
    <n v="450"/>
    <x v="69"/>
    <s v="CUST450"/>
    <s v="Female"/>
    <n v="59"/>
    <s v="Beauty"/>
    <n v="2"/>
    <n v="25"/>
    <n v="50"/>
    <x v="69"/>
  </r>
  <r>
    <n v="451"/>
    <x v="72"/>
    <s v="CUST451"/>
    <s v="Female"/>
    <n v="45"/>
    <s v="Electronics"/>
    <n v="1"/>
    <n v="30"/>
    <n v="30"/>
    <x v="72"/>
  </r>
  <r>
    <n v="452"/>
    <x v="193"/>
    <s v="CUST452"/>
    <s v="Female"/>
    <n v="48"/>
    <s v="Clothing"/>
    <n v="3"/>
    <n v="500"/>
    <n v="1500"/>
    <x v="193"/>
  </r>
  <r>
    <n v="453"/>
    <x v="236"/>
    <s v="CUST453"/>
    <s v="Female"/>
    <n v="26"/>
    <s v="Clothing"/>
    <n v="2"/>
    <n v="500"/>
    <n v="1000"/>
    <x v="236"/>
  </r>
  <r>
    <n v="454"/>
    <x v="7"/>
    <s v="CUST454"/>
    <s v="Female"/>
    <n v="46"/>
    <s v="Beauty"/>
    <n v="1"/>
    <n v="25"/>
    <n v="25"/>
    <x v="7"/>
  </r>
  <r>
    <n v="455"/>
    <x v="68"/>
    <s v="CUST455"/>
    <s v="Male"/>
    <n v="31"/>
    <s v="Electronics"/>
    <n v="4"/>
    <n v="25"/>
    <n v="100"/>
    <x v="68"/>
  </r>
  <r>
    <n v="456"/>
    <x v="257"/>
    <s v="CUST456"/>
    <s v="Male"/>
    <n v="57"/>
    <s v="Electronics"/>
    <n v="2"/>
    <n v="30"/>
    <n v="60"/>
    <x v="257"/>
  </r>
  <r>
    <n v="457"/>
    <x v="180"/>
    <s v="CUST457"/>
    <s v="Female"/>
    <n v="58"/>
    <s v="Beauty"/>
    <n v="3"/>
    <n v="300"/>
    <n v="900"/>
    <x v="180"/>
  </r>
  <r>
    <n v="458"/>
    <x v="220"/>
    <s v="CUST458"/>
    <s v="Female"/>
    <n v="39"/>
    <s v="Electronics"/>
    <n v="4"/>
    <n v="25"/>
    <n v="100"/>
    <x v="220"/>
  </r>
  <r>
    <n v="459"/>
    <x v="34"/>
    <s v="CUST459"/>
    <s v="Male"/>
    <n v="28"/>
    <s v="Clothing"/>
    <n v="4"/>
    <n v="300"/>
    <n v="1200"/>
    <x v="34"/>
  </r>
  <r>
    <n v="460"/>
    <x v="173"/>
    <s v="CUST460"/>
    <s v="Male"/>
    <n v="40"/>
    <s v="Beauty"/>
    <n v="1"/>
    <n v="50"/>
    <n v="50"/>
    <x v="173"/>
  </r>
  <r>
    <n v="461"/>
    <x v="66"/>
    <s v="CUST461"/>
    <s v="Female"/>
    <n v="18"/>
    <s v="Beauty"/>
    <n v="2"/>
    <n v="500"/>
    <n v="1000"/>
    <x v="66"/>
  </r>
  <r>
    <n v="462"/>
    <x v="258"/>
    <s v="CUST462"/>
    <s v="Male"/>
    <n v="63"/>
    <s v="Electronics"/>
    <n v="4"/>
    <n v="300"/>
    <n v="1200"/>
    <x v="258"/>
  </r>
  <r>
    <n v="463"/>
    <x v="259"/>
    <s v="CUST463"/>
    <s v="Female"/>
    <n v="54"/>
    <s v="Beauty"/>
    <n v="3"/>
    <n v="500"/>
    <n v="1500"/>
    <x v="259"/>
  </r>
  <r>
    <n v="464"/>
    <x v="2"/>
    <s v="CUST464"/>
    <s v="Male"/>
    <n v="38"/>
    <s v="Electronics"/>
    <n v="2"/>
    <n v="300"/>
    <n v="600"/>
    <x v="2"/>
  </r>
  <r>
    <n v="465"/>
    <x v="128"/>
    <s v="CUST465"/>
    <s v="Female"/>
    <n v="43"/>
    <s v="Electronics"/>
    <n v="3"/>
    <n v="50"/>
    <n v="150"/>
    <x v="128"/>
  </r>
  <r>
    <n v="466"/>
    <x v="248"/>
    <s v="CUST466"/>
    <s v="Male"/>
    <n v="63"/>
    <s v="Electronics"/>
    <n v="4"/>
    <n v="25"/>
    <n v="100"/>
    <x v="248"/>
  </r>
  <r>
    <n v="467"/>
    <x v="184"/>
    <s v="CUST467"/>
    <s v="Female"/>
    <n v="53"/>
    <s v="Electronics"/>
    <n v="3"/>
    <n v="50"/>
    <n v="150"/>
    <x v="184"/>
  </r>
  <r>
    <n v="468"/>
    <x v="174"/>
    <s v="CUST468"/>
    <s v="Male"/>
    <n v="40"/>
    <s v="Electronics"/>
    <n v="1"/>
    <n v="25"/>
    <n v="25"/>
    <x v="174"/>
  </r>
  <r>
    <n v="469"/>
    <x v="193"/>
    <s v="CUST469"/>
    <s v="Male"/>
    <n v="18"/>
    <s v="Beauty"/>
    <n v="3"/>
    <n v="25"/>
    <n v="75"/>
    <x v="193"/>
  </r>
  <r>
    <n v="470"/>
    <x v="71"/>
    <s v="CUST470"/>
    <s v="Female"/>
    <n v="57"/>
    <s v="Clothing"/>
    <n v="2"/>
    <n v="500"/>
    <n v="1000"/>
    <x v="71"/>
  </r>
  <r>
    <n v="471"/>
    <x v="31"/>
    <s v="CUST471"/>
    <s v="Male"/>
    <n v="32"/>
    <s v="Clothing"/>
    <n v="3"/>
    <n v="50"/>
    <n v="150"/>
    <x v="31"/>
  </r>
  <r>
    <n v="472"/>
    <x v="24"/>
    <s v="CUST472"/>
    <s v="Female"/>
    <n v="38"/>
    <s v="Beauty"/>
    <n v="3"/>
    <n v="300"/>
    <n v="900"/>
    <x v="24"/>
  </r>
  <r>
    <n v="473"/>
    <x v="192"/>
    <s v="CUST473"/>
    <s v="Male"/>
    <n v="64"/>
    <s v="Beauty"/>
    <n v="1"/>
    <n v="50"/>
    <n v="50"/>
    <x v="192"/>
  </r>
  <r>
    <n v="474"/>
    <x v="116"/>
    <s v="CUST474"/>
    <s v="Female"/>
    <n v="26"/>
    <s v="Clothing"/>
    <n v="3"/>
    <n v="500"/>
    <n v="1500"/>
    <x v="116"/>
  </r>
  <r>
    <n v="475"/>
    <x v="260"/>
    <s v="CUST475"/>
    <s v="Male"/>
    <n v="26"/>
    <s v="Clothing"/>
    <n v="3"/>
    <n v="25"/>
    <n v="75"/>
    <x v="260"/>
  </r>
  <r>
    <n v="476"/>
    <x v="261"/>
    <s v="CUST476"/>
    <s v="Female"/>
    <n v="27"/>
    <s v="Clothing"/>
    <n v="4"/>
    <n v="500"/>
    <n v="2000"/>
    <x v="261"/>
  </r>
  <r>
    <n v="477"/>
    <x v="262"/>
    <s v="CUST477"/>
    <s v="Male"/>
    <n v="43"/>
    <s v="Clothing"/>
    <n v="4"/>
    <n v="30"/>
    <n v="120"/>
    <x v="262"/>
  </r>
  <r>
    <n v="478"/>
    <x v="157"/>
    <s v="CUST478"/>
    <s v="Female"/>
    <n v="58"/>
    <s v="Clothing"/>
    <n v="2"/>
    <n v="30"/>
    <n v="60"/>
    <x v="157"/>
  </r>
  <r>
    <n v="479"/>
    <x v="44"/>
    <s v="CUST479"/>
    <s v="Male"/>
    <n v="52"/>
    <s v="Electronics"/>
    <n v="4"/>
    <n v="300"/>
    <n v="1200"/>
    <x v="44"/>
  </r>
  <r>
    <n v="480"/>
    <x v="263"/>
    <s v="CUST480"/>
    <s v="Female"/>
    <n v="42"/>
    <s v="Beauty"/>
    <n v="4"/>
    <n v="500"/>
    <n v="2000"/>
    <x v="263"/>
  </r>
  <r>
    <n v="481"/>
    <x v="264"/>
    <s v="CUST481"/>
    <s v="Female"/>
    <n v="43"/>
    <s v="Electronics"/>
    <n v="4"/>
    <n v="300"/>
    <n v="1200"/>
    <x v="264"/>
  </r>
  <r>
    <n v="482"/>
    <x v="60"/>
    <s v="CUST482"/>
    <s v="Female"/>
    <n v="28"/>
    <s v="Clothing"/>
    <n v="4"/>
    <n v="300"/>
    <n v="1200"/>
    <x v="60"/>
  </r>
  <r>
    <n v="483"/>
    <x v="5"/>
    <s v="CUST483"/>
    <s v="Male"/>
    <n v="55"/>
    <s v="Clothing"/>
    <n v="1"/>
    <n v="30"/>
    <n v="30"/>
    <x v="5"/>
  </r>
  <r>
    <n v="484"/>
    <x v="2"/>
    <s v="CUST484"/>
    <s v="Female"/>
    <n v="19"/>
    <s v="Clothing"/>
    <n v="4"/>
    <n v="300"/>
    <n v="1200"/>
    <x v="2"/>
  </r>
  <r>
    <n v="485"/>
    <x v="151"/>
    <s v="CUST485"/>
    <s v="Male"/>
    <n v="24"/>
    <s v="Electronics"/>
    <n v="1"/>
    <n v="30"/>
    <n v="30"/>
    <x v="151"/>
  </r>
  <r>
    <n v="486"/>
    <x v="55"/>
    <s v="CUST486"/>
    <s v="Female"/>
    <n v="35"/>
    <s v="Electronics"/>
    <n v="1"/>
    <n v="25"/>
    <n v="25"/>
    <x v="55"/>
  </r>
  <r>
    <n v="487"/>
    <x v="104"/>
    <s v="CUST487"/>
    <s v="Male"/>
    <n v="44"/>
    <s v="Clothing"/>
    <n v="4"/>
    <n v="500"/>
    <n v="2000"/>
    <x v="104"/>
  </r>
  <r>
    <n v="488"/>
    <x v="265"/>
    <s v="CUST488"/>
    <s v="Female"/>
    <n v="51"/>
    <s v="Electronics"/>
    <n v="3"/>
    <n v="300"/>
    <n v="900"/>
    <x v="265"/>
  </r>
  <r>
    <n v="489"/>
    <x v="29"/>
    <s v="CUST489"/>
    <s v="Male"/>
    <n v="44"/>
    <s v="Electronics"/>
    <n v="1"/>
    <n v="30"/>
    <n v="30"/>
    <x v="29"/>
  </r>
  <r>
    <n v="490"/>
    <x v="57"/>
    <s v="CUST490"/>
    <s v="Male"/>
    <n v="34"/>
    <s v="Clothing"/>
    <n v="3"/>
    <n v="50"/>
    <n v="150"/>
    <x v="57"/>
  </r>
  <r>
    <n v="491"/>
    <x v="29"/>
    <s v="CUST491"/>
    <s v="Female"/>
    <n v="60"/>
    <s v="Electronics"/>
    <n v="3"/>
    <n v="300"/>
    <n v="900"/>
    <x v="29"/>
  </r>
  <r>
    <n v="492"/>
    <x v="263"/>
    <s v="CUST492"/>
    <s v="Male"/>
    <n v="61"/>
    <s v="Beauty"/>
    <n v="4"/>
    <n v="25"/>
    <n v="100"/>
    <x v="263"/>
  </r>
  <r>
    <n v="493"/>
    <x v="123"/>
    <s v="CUST493"/>
    <s v="Male"/>
    <n v="41"/>
    <s v="Beauty"/>
    <n v="2"/>
    <n v="25"/>
    <n v="50"/>
    <x v="123"/>
  </r>
  <r>
    <n v="494"/>
    <x v="106"/>
    <s v="CUST494"/>
    <s v="Female"/>
    <n v="42"/>
    <s v="Beauty"/>
    <n v="4"/>
    <n v="50"/>
    <n v="200"/>
    <x v="106"/>
  </r>
  <r>
    <n v="495"/>
    <x v="104"/>
    <s v="CUST495"/>
    <s v="Male"/>
    <n v="24"/>
    <s v="Beauty"/>
    <n v="2"/>
    <n v="30"/>
    <n v="60"/>
    <x v="104"/>
  </r>
  <r>
    <n v="496"/>
    <x v="266"/>
    <s v="CUST496"/>
    <s v="Male"/>
    <n v="23"/>
    <s v="Clothing"/>
    <n v="2"/>
    <n v="300"/>
    <n v="600"/>
    <x v="266"/>
  </r>
  <r>
    <n v="497"/>
    <x v="45"/>
    <s v="CUST497"/>
    <s v="Male"/>
    <n v="41"/>
    <s v="Clothing"/>
    <n v="4"/>
    <n v="30"/>
    <n v="120"/>
    <x v="45"/>
  </r>
  <r>
    <n v="498"/>
    <x v="171"/>
    <s v="CUST498"/>
    <s v="Female"/>
    <n v="50"/>
    <s v="Clothing"/>
    <n v="4"/>
    <n v="25"/>
    <n v="100"/>
    <x v="171"/>
  </r>
  <r>
    <n v="499"/>
    <x v="267"/>
    <s v="CUST499"/>
    <s v="Male"/>
    <n v="46"/>
    <s v="Beauty"/>
    <n v="2"/>
    <n v="30"/>
    <n v="60"/>
    <x v="267"/>
  </r>
  <r>
    <n v="500"/>
    <x v="240"/>
    <s v="CUST500"/>
    <s v="Female"/>
    <n v="60"/>
    <s v="Beauty"/>
    <n v="4"/>
    <n v="25"/>
    <n v="100"/>
    <x v="240"/>
  </r>
  <r>
    <n v="501"/>
    <x v="224"/>
    <s v="CUST501"/>
    <s v="Male"/>
    <n v="39"/>
    <s v="Electronics"/>
    <n v="2"/>
    <n v="30"/>
    <n v="60"/>
    <x v="224"/>
  </r>
  <r>
    <n v="502"/>
    <x v="128"/>
    <s v="CUST502"/>
    <s v="Male"/>
    <n v="43"/>
    <s v="Electronics"/>
    <n v="3"/>
    <n v="50"/>
    <n v="150"/>
    <x v="128"/>
  </r>
  <r>
    <n v="503"/>
    <x v="268"/>
    <s v="CUST503"/>
    <s v="Male"/>
    <n v="45"/>
    <s v="Beauty"/>
    <n v="4"/>
    <n v="500"/>
    <n v="2000"/>
    <x v="268"/>
  </r>
  <r>
    <n v="504"/>
    <x v="42"/>
    <s v="CUST504"/>
    <s v="Female"/>
    <n v="38"/>
    <s v="Beauty"/>
    <n v="3"/>
    <n v="50"/>
    <n v="150"/>
    <x v="42"/>
  </r>
  <r>
    <n v="505"/>
    <x v="260"/>
    <s v="CUST505"/>
    <s v="Male"/>
    <n v="24"/>
    <s v="Beauty"/>
    <n v="1"/>
    <n v="50"/>
    <n v="50"/>
    <x v="260"/>
  </r>
  <r>
    <n v="506"/>
    <x v="192"/>
    <s v="CUST506"/>
    <s v="Male"/>
    <n v="34"/>
    <s v="Beauty"/>
    <n v="3"/>
    <n v="500"/>
    <n v="1500"/>
    <x v="192"/>
  </r>
  <r>
    <n v="507"/>
    <x v="113"/>
    <s v="CUST507"/>
    <s v="Female"/>
    <n v="37"/>
    <s v="Electronics"/>
    <n v="3"/>
    <n v="500"/>
    <n v="1500"/>
    <x v="113"/>
  </r>
  <r>
    <n v="508"/>
    <x v="124"/>
    <s v="CUST508"/>
    <s v="Male"/>
    <n v="58"/>
    <s v="Beauty"/>
    <n v="2"/>
    <n v="300"/>
    <n v="600"/>
    <x v="124"/>
  </r>
  <r>
    <n v="509"/>
    <x v="40"/>
    <s v="CUST509"/>
    <s v="Female"/>
    <n v="37"/>
    <s v="Electronics"/>
    <n v="3"/>
    <n v="300"/>
    <n v="900"/>
    <x v="40"/>
  </r>
  <r>
    <n v="510"/>
    <x v="210"/>
    <s v="CUST510"/>
    <s v="Female"/>
    <n v="39"/>
    <s v="Beauty"/>
    <n v="4"/>
    <n v="50"/>
    <n v="200"/>
    <x v="210"/>
  </r>
  <r>
    <n v="511"/>
    <x v="269"/>
    <s v="CUST511"/>
    <s v="Male"/>
    <n v="45"/>
    <s v="Beauty"/>
    <n v="2"/>
    <n v="50"/>
    <n v="100"/>
    <x v="269"/>
  </r>
  <r>
    <n v="512"/>
    <x v="155"/>
    <s v="CUST512"/>
    <s v="Female"/>
    <n v="57"/>
    <s v="Beauty"/>
    <n v="1"/>
    <n v="25"/>
    <n v="25"/>
    <x v="155"/>
  </r>
  <r>
    <n v="513"/>
    <x v="270"/>
    <s v="CUST513"/>
    <s v="Male"/>
    <n v="24"/>
    <s v="Electronics"/>
    <n v="4"/>
    <n v="25"/>
    <n v="100"/>
    <x v="270"/>
  </r>
  <r>
    <n v="514"/>
    <x v="240"/>
    <s v="CUST514"/>
    <s v="Female"/>
    <n v="18"/>
    <s v="Electronics"/>
    <n v="1"/>
    <n v="300"/>
    <n v="300"/>
    <x v="240"/>
  </r>
  <r>
    <n v="515"/>
    <x v="115"/>
    <s v="CUST515"/>
    <s v="Female"/>
    <n v="49"/>
    <s v="Clothing"/>
    <n v="3"/>
    <n v="300"/>
    <n v="900"/>
    <x v="115"/>
  </r>
  <r>
    <n v="516"/>
    <x v="54"/>
    <s v="CUST516"/>
    <s v="Male"/>
    <n v="30"/>
    <s v="Beauty"/>
    <n v="4"/>
    <n v="25"/>
    <n v="100"/>
    <x v="54"/>
  </r>
  <r>
    <n v="517"/>
    <x v="181"/>
    <s v="CUST517"/>
    <s v="Female"/>
    <n v="47"/>
    <s v="Clothing"/>
    <n v="4"/>
    <n v="25"/>
    <n v="100"/>
    <x v="181"/>
  </r>
  <r>
    <n v="518"/>
    <x v="271"/>
    <s v="CUST518"/>
    <s v="Female"/>
    <n v="40"/>
    <s v="Clothing"/>
    <n v="1"/>
    <n v="30"/>
    <n v="30"/>
    <x v="271"/>
  </r>
  <r>
    <n v="519"/>
    <x v="43"/>
    <s v="CUST519"/>
    <s v="Female"/>
    <n v="36"/>
    <s v="Electronics"/>
    <n v="4"/>
    <n v="30"/>
    <n v="120"/>
    <x v="43"/>
  </r>
  <r>
    <n v="520"/>
    <x v="167"/>
    <s v="CUST520"/>
    <s v="Female"/>
    <n v="49"/>
    <s v="Electronics"/>
    <n v="4"/>
    <n v="25"/>
    <n v="100"/>
    <x v="167"/>
  </r>
  <r>
    <n v="521"/>
    <x v="269"/>
    <s v="CUST521"/>
    <s v="Female"/>
    <n v="47"/>
    <s v="Clothing"/>
    <n v="4"/>
    <n v="30"/>
    <n v="120"/>
    <x v="269"/>
  </r>
  <r>
    <n v="522"/>
    <x v="137"/>
    <s v="CUST522"/>
    <s v="Male"/>
    <n v="46"/>
    <s v="Beauty"/>
    <n v="3"/>
    <n v="500"/>
    <n v="1500"/>
    <x v="137"/>
  </r>
  <r>
    <n v="523"/>
    <x v="272"/>
    <s v="CUST523"/>
    <s v="Female"/>
    <n v="62"/>
    <s v="Electronics"/>
    <n v="1"/>
    <n v="300"/>
    <n v="300"/>
    <x v="272"/>
  </r>
  <r>
    <n v="524"/>
    <x v="99"/>
    <s v="CUST524"/>
    <s v="Male"/>
    <n v="46"/>
    <s v="Beauty"/>
    <n v="4"/>
    <n v="300"/>
    <n v="1200"/>
    <x v="99"/>
  </r>
  <r>
    <n v="525"/>
    <x v="244"/>
    <s v="CUST525"/>
    <s v="Female"/>
    <n v="47"/>
    <s v="Beauty"/>
    <n v="2"/>
    <n v="25"/>
    <n v="50"/>
    <x v="244"/>
  </r>
  <r>
    <n v="526"/>
    <x v="70"/>
    <s v="CUST526"/>
    <s v="Male"/>
    <n v="33"/>
    <s v="Clothing"/>
    <n v="2"/>
    <n v="50"/>
    <n v="100"/>
    <x v="70"/>
  </r>
  <r>
    <n v="527"/>
    <x v="273"/>
    <s v="CUST527"/>
    <s v="Male"/>
    <n v="57"/>
    <s v="Clothing"/>
    <n v="2"/>
    <n v="25"/>
    <n v="50"/>
    <x v="273"/>
  </r>
  <r>
    <n v="528"/>
    <x v="65"/>
    <s v="CUST528"/>
    <s v="Female"/>
    <n v="36"/>
    <s v="Clothing"/>
    <n v="2"/>
    <n v="30"/>
    <n v="60"/>
    <x v="65"/>
  </r>
  <r>
    <n v="529"/>
    <x v="183"/>
    <s v="CUST529"/>
    <s v="Female"/>
    <n v="35"/>
    <s v="Clothing"/>
    <n v="3"/>
    <n v="50"/>
    <n v="150"/>
    <x v="183"/>
  </r>
  <r>
    <n v="530"/>
    <x v="57"/>
    <s v="CUST530"/>
    <s v="Female"/>
    <n v="18"/>
    <s v="Electronics"/>
    <n v="4"/>
    <n v="30"/>
    <n v="120"/>
    <x v="57"/>
  </r>
  <r>
    <n v="531"/>
    <x v="274"/>
    <s v="CUST531"/>
    <s v="Male"/>
    <n v="31"/>
    <s v="Electronics"/>
    <n v="1"/>
    <n v="500"/>
    <n v="500"/>
    <x v="274"/>
  </r>
  <r>
    <n v="532"/>
    <x v="171"/>
    <s v="CUST532"/>
    <s v="Female"/>
    <n v="64"/>
    <s v="Clothing"/>
    <n v="4"/>
    <n v="30"/>
    <n v="120"/>
    <x v="171"/>
  </r>
  <r>
    <n v="533"/>
    <x v="275"/>
    <s v="CUST533"/>
    <s v="Male"/>
    <n v="19"/>
    <s v="Electronics"/>
    <n v="3"/>
    <n v="500"/>
    <n v="1500"/>
    <x v="275"/>
  </r>
  <r>
    <n v="534"/>
    <x v="210"/>
    <s v="CUST534"/>
    <s v="Male"/>
    <n v="45"/>
    <s v="Clothing"/>
    <n v="2"/>
    <n v="500"/>
    <n v="1000"/>
    <x v="210"/>
  </r>
  <r>
    <n v="535"/>
    <x v="237"/>
    <s v="CUST535"/>
    <s v="Male"/>
    <n v="47"/>
    <s v="Beauty"/>
    <n v="3"/>
    <n v="30"/>
    <n v="90"/>
    <x v="237"/>
  </r>
  <r>
    <n v="536"/>
    <x v="46"/>
    <s v="CUST536"/>
    <s v="Female"/>
    <n v="55"/>
    <s v="Beauty"/>
    <n v="4"/>
    <n v="30"/>
    <n v="120"/>
    <x v="46"/>
  </r>
  <r>
    <n v="537"/>
    <x v="226"/>
    <s v="CUST537"/>
    <s v="Female"/>
    <n v="21"/>
    <s v="Beauty"/>
    <n v="1"/>
    <n v="500"/>
    <n v="500"/>
    <x v="226"/>
  </r>
  <r>
    <n v="538"/>
    <x v="129"/>
    <s v="CUST538"/>
    <s v="Male"/>
    <n v="18"/>
    <s v="Clothing"/>
    <n v="3"/>
    <n v="50"/>
    <n v="150"/>
    <x v="129"/>
  </r>
  <r>
    <n v="539"/>
    <x v="276"/>
    <s v="CUST539"/>
    <s v="Male"/>
    <n v="25"/>
    <s v="Beauty"/>
    <n v="1"/>
    <n v="500"/>
    <n v="500"/>
    <x v="276"/>
  </r>
  <r>
    <n v="540"/>
    <x v="236"/>
    <s v="CUST540"/>
    <s v="Female"/>
    <n v="46"/>
    <s v="Electronics"/>
    <n v="3"/>
    <n v="300"/>
    <n v="900"/>
    <x v="236"/>
  </r>
  <r>
    <n v="541"/>
    <x v="277"/>
    <s v="CUST541"/>
    <s v="Male"/>
    <n v="56"/>
    <s v="Beauty"/>
    <n v="1"/>
    <n v="500"/>
    <n v="500"/>
    <x v="277"/>
  </r>
  <r>
    <n v="542"/>
    <x v="278"/>
    <s v="CUST542"/>
    <s v="Female"/>
    <n v="20"/>
    <s v="Beauty"/>
    <n v="1"/>
    <n v="50"/>
    <n v="50"/>
    <x v="278"/>
  </r>
  <r>
    <n v="543"/>
    <x v="191"/>
    <s v="CUST543"/>
    <s v="Male"/>
    <n v="49"/>
    <s v="Beauty"/>
    <n v="2"/>
    <n v="300"/>
    <n v="600"/>
    <x v="191"/>
  </r>
  <r>
    <n v="544"/>
    <x v="204"/>
    <s v="CUST544"/>
    <s v="Female"/>
    <n v="27"/>
    <s v="Electronics"/>
    <n v="1"/>
    <n v="25"/>
    <n v="25"/>
    <x v="204"/>
  </r>
  <r>
    <n v="545"/>
    <x v="207"/>
    <s v="CUST545"/>
    <s v="Male"/>
    <n v="27"/>
    <s v="Clothing"/>
    <n v="2"/>
    <n v="25"/>
    <n v="50"/>
    <x v="207"/>
  </r>
  <r>
    <n v="546"/>
    <x v="120"/>
    <s v="CUST546"/>
    <s v="Female"/>
    <n v="36"/>
    <s v="Electronics"/>
    <n v="4"/>
    <n v="50"/>
    <n v="200"/>
    <x v="120"/>
  </r>
  <r>
    <n v="547"/>
    <x v="150"/>
    <s v="CUST547"/>
    <s v="Male"/>
    <n v="63"/>
    <s v="Clothing"/>
    <n v="4"/>
    <n v="500"/>
    <n v="2000"/>
    <x v="150"/>
  </r>
  <r>
    <n v="548"/>
    <x v="55"/>
    <s v="CUST548"/>
    <s v="Female"/>
    <n v="51"/>
    <s v="Clothing"/>
    <n v="2"/>
    <n v="30"/>
    <n v="60"/>
    <x v="55"/>
  </r>
  <r>
    <n v="549"/>
    <x v="279"/>
    <s v="CUST549"/>
    <s v="Female"/>
    <n v="50"/>
    <s v="Beauty"/>
    <n v="2"/>
    <n v="50"/>
    <n v="100"/>
    <x v="279"/>
  </r>
  <r>
    <n v="550"/>
    <x v="274"/>
    <s v="CUST550"/>
    <s v="Male"/>
    <n v="40"/>
    <s v="Clothing"/>
    <n v="3"/>
    <n v="300"/>
    <n v="900"/>
    <x v="274"/>
  </r>
  <r>
    <n v="551"/>
    <x v="37"/>
    <s v="CUST551"/>
    <s v="Male"/>
    <n v="45"/>
    <s v="Electronics"/>
    <n v="3"/>
    <n v="300"/>
    <n v="900"/>
    <x v="37"/>
  </r>
  <r>
    <n v="552"/>
    <x v="8"/>
    <s v="CUST552"/>
    <s v="Female"/>
    <n v="49"/>
    <s v="Electronics"/>
    <n v="3"/>
    <n v="25"/>
    <n v="75"/>
    <x v="8"/>
  </r>
  <r>
    <n v="553"/>
    <x v="280"/>
    <s v="CUST553"/>
    <s v="Male"/>
    <n v="24"/>
    <s v="Clothing"/>
    <n v="4"/>
    <n v="300"/>
    <n v="1200"/>
    <x v="280"/>
  </r>
  <r>
    <n v="554"/>
    <x v="281"/>
    <s v="CUST554"/>
    <s v="Female"/>
    <n v="46"/>
    <s v="Beauty"/>
    <n v="3"/>
    <n v="50"/>
    <n v="150"/>
    <x v="281"/>
  </r>
  <r>
    <n v="555"/>
    <x v="218"/>
    <s v="CUST555"/>
    <s v="Male"/>
    <n v="25"/>
    <s v="Beauty"/>
    <n v="1"/>
    <n v="300"/>
    <n v="300"/>
    <x v="218"/>
  </r>
  <r>
    <n v="556"/>
    <x v="234"/>
    <s v="CUST556"/>
    <s v="Female"/>
    <n v="18"/>
    <s v="Electronics"/>
    <n v="1"/>
    <n v="50"/>
    <n v="50"/>
    <x v="234"/>
  </r>
  <r>
    <n v="557"/>
    <x v="282"/>
    <s v="CUST557"/>
    <s v="Female"/>
    <n v="20"/>
    <s v="Beauty"/>
    <n v="3"/>
    <n v="30"/>
    <n v="90"/>
    <x v="282"/>
  </r>
  <r>
    <n v="558"/>
    <x v="283"/>
    <s v="CUST558"/>
    <s v="Female"/>
    <n v="41"/>
    <s v="Clothing"/>
    <n v="1"/>
    <n v="25"/>
    <n v="25"/>
    <x v="283"/>
  </r>
  <r>
    <n v="559"/>
    <x v="137"/>
    <s v="CUST559"/>
    <s v="Female"/>
    <n v="40"/>
    <s v="Clothing"/>
    <n v="4"/>
    <n v="300"/>
    <n v="1200"/>
    <x v="137"/>
  </r>
  <r>
    <n v="560"/>
    <x v="284"/>
    <s v="CUST560"/>
    <s v="Female"/>
    <n v="25"/>
    <s v="Electronics"/>
    <n v="1"/>
    <n v="50"/>
    <n v="50"/>
    <x v="284"/>
  </r>
  <r>
    <n v="561"/>
    <x v="203"/>
    <s v="CUST561"/>
    <s v="Female"/>
    <n v="64"/>
    <s v="Clothing"/>
    <n v="4"/>
    <n v="500"/>
    <n v="2000"/>
    <x v="203"/>
  </r>
  <r>
    <n v="562"/>
    <x v="69"/>
    <s v="CUST562"/>
    <s v="Male"/>
    <n v="54"/>
    <s v="Electronics"/>
    <n v="2"/>
    <n v="25"/>
    <n v="50"/>
    <x v="69"/>
  </r>
  <r>
    <n v="563"/>
    <x v="183"/>
    <s v="CUST563"/>
    <s v="Male"/>
    <n v="20"/>
    <s v="Clothing"/>
    <n v="2"/>
    <n v="30"/>
    <n v="60"/>
    <x v="183"/>
  </r>
  <r>
    <n v="564"/>
    <x v="208"/>
    <s v="CUST564"/>
    <s v="Male"/>
    <n v="50"/>
    <s v="Electronics"/>
    <n v="2"/>
    <n v="50"/>
    <n v="100"/>
    <x v="208"/>
  </r>
  <r>
    <n v="565"/>
    <x v="155"/>
    <s v="CUST565"/>
    <s v="Female"/>
    <n v="45"/>
    <s v="Beauty"/>
    <n v="2"/>
    <n v="30"/>
    <n v="60"/>
    <x v="155"/>
  </r>
  <r>
    <n v="566"/>
    <x v="92"/>
    <s v="CUST566"/>
    <s v="Female"/>
    <n v="64"/>
    <s v="Clothing"/>
    <n v="1"/>
    <n v="30"/>
    <n v="30"/>
    <x v="92"/>
  </r>
  <r>
    <n v="567"/>
    <x v="285"/>
    <s v="CUST567"/>
    <s v="Female"/>
    <n v="25"/>
    <s v="Clothing"/>
    <n v="3"/>
    <n v="300"/>
    <n v="900"/>
    <x v="285"/>
  </r>
  <r>
    <n v="568"/>
    <x v="286"/>
    <s v="CUST568"/>
    <s v="Female"/>
    <n v="51"/>
    <s v="Electronics"/>
    <n v="1"/>
    <n v="300"/>
    <n v="300"/>
    <x v="286"/>
  </r>
  <r>
    <n v="569"/>
    <x v="196"/>
    <s v="CUST569"/>
    <s v="Male"/>
    <n v="52"/>
    <s v="Electronics"/>
    <n v="4"/>
    <n v="50"/>
    <n v="200"/>
    <x v="196"/>
  </r>
  <r>
    <n v="570"/>
    <x v="196"/>
    <s v="CUST570"/>
    <s v="Male"/>
    <n v="49"/>
    <s v="Clothing"/>
    <n v="1"/>
    <n v="500"/>
    <n v="500"/>
    <x v="196"/>
  </r>
  <r>
    <n v="571"/>
    <x v="216"/>
    <s v="CUST571"/>
    <s v="Female"/>
    <n v="41"/>
    <s v="Electronics"/>
    <n v="1"/>
    <n v="50"/>
    <n v="50"/>
    <x v="216"/>
  </r>
  <r>
    <n v="572"/>
    <x v="175"/>
    <s v="CUST572"/>
    <s v="Male"/>
    <n v="31"/>
    <s v="Clothing"/>
    <n v="4"/>
    <n v="500"/>
    <n v="2000"/>
    <x v="175"/>
  </r>
  <r>
    <n v="573"/>
    <x v="270"/>
    <s v="CUST573"/>
    <s v="Male"/>
    <n v="49"/>
    <s v="Beauty"/>
    <n v="2"/>
    <n v="30"/>
    <n v="60"/>
    <x v="270"/>
  </r>
  <r>
    <n v="574"/>
    <x v="178"/>
    <s v="CUST574"/>
    <s v="Female"/>
    <n v="63"/>
    <s v="Electronics"/>
    <n v="2"/>
    <n v="25"/>
    <n v="50"/>
    <x v="178"/>
  </r>
  <r>
    <n v="575"/>
    <x v="287"/>
    <s v="CUST575"/>
    <s v="Male"/>
    <n v="60"/>
    <s v="Clothing"/>
    <n v="2"/>
    <n v="50"/>
    <n v="100"/>
    <x v="287"/>
  </r>
  <r>
    <n v="576"/>
    <x v="151"/>
    <s v="CUST576"/>
    <s v="Female"/>
    <n v="33"/>
    <s v="Beauty"/>
    <n v="3"/>
    <n v="50"/>
    <n v="150"/>
    <x v="151"/>
  </r>
  <r>
    <n v="577"/>
    <x v="146"/>
    <s v="CUST577"/>
    <s v="Male"/>
    <n v="21"/>
    <s v="Beauty"/>
    <n v="4"/>
    <n v="500"/>
    <n v="2000"/>
    <x v="146"/>
  </r>
  <r>
    <n v="578"/>
    <x v="232"/>
    <s v="CUST578"/>
    <s v="Female"/>
    <n v="54"/>
    <s v="Clothing"/>
    <n v="4"/>
    <n v="30"/>
    <n v="120"/>
    <x v="232"/>
  </r>
  <r>
    <n v="579"/>
    <x v="172"/>
    <s v="CUST579"/>
    <s v="Female"/>
    <n v="38"/>
    <s v="Electronics"/>
    <n v="1"/>
    <n v="30"/>
    <n v="30"/>
    <x v="172"/>
  </r>
  <r>
    <n v="580"/>
    <x v="237"/>
    <s v="CUST580"/>
    <s v="Female"/>
    <n v="31"/>
    <s v="Clothing"/>
    <n v="3"/>
    <n v="500"/>
    <n v="1500"/>
    <x v="237"/>
  </r>
  <r>
    <n v="581"/>
    <x v="245"/>
    <s v="CUST581"/>
    <s v="Female"/>
    <n v="48"/>
    <s v="Beauty"/>
    <n v="2"/>
    <n v="30"/>
    <n v="60"/>
    <x v="245"/>
  </r>
  <r>
    <n v="582"/>
    <x v="220"/>
    <s v="CUST582"/>
    <s v="Male"/>
    <n v="35"/>
    <s v="Clothing"/>
    <n v="3"/>
    <n v="300"/>
    <n v="900"/>
    <x v="220"/>
  </r>
  <r>
    <n v="583"/>
    <x v="288"/>
    <s v="CUST583"/>
    <s v="Female"/>
    <n v="24"/>
    <s v="Electronics"/>
    <n v="4"/>
    <n v="25"/>
    <n v="100"/>
    <x v="288"/>
  </r>
  <r>
    <n v="584"/>
    <x v="15"/>
    <s v="CUST584"/>
    <s v="Female"/>
    <n v="27"/>
    <s v="Beauty"/>
    <n v="4"/>
    <n v="50"/>
    <n v="200"/>
    <x v="15"/>
  </r>
  <r>
    <n v="585"/>
    <x v="217"/>
    <s v="CUST585"/>
    <s v="Female"/>
    <n v="24"/>
    <s v="Clothing"/>
    <n v="1"/>
    <n v="25"/>
    <n v="25"/>
    <x v="217"/>
  </r>
  <r>
    <n v="586"/>
    <x v="186"/>
    <s v="CUST586"/>
    <s v="Male"/>
    <n v="50"/>
    <s v="Electronics"/>
    <n v="1"/>
    <n v="50"/>
    <n v="50"/>
    <x v="186"/>
  </r>
  <r>
    <n v="587"/>
    <x v="276"/>
    <s v="CUST587"/>
    <s v="Female"/>
    <n v="40"/>
    <s v="Beauty"/>
    <n v="4"/>
    <n v="300"/>
    <n v="1200"/>
    <x v="276"/>
  </r>
  <r>
    <n v="588"/>
    <x v="164"/>
    <s v="CUST588"/>
    <s v="Male"/>
    <n v="38"/>
    <s v="Electronics"/>
    <n v="2"/>
    <n v="30"/>
    <n v="60"/>
    <x v="164"/>
  </r>
  <r>
    <n v="589"/>
    <x v="22"/>
    <s v="CUST589"/>
    <s v="Female"/>
    <n v="36"/>
    <s v="Beauty"/>
    <n v="2"/>
    <n v="500"/>
    <n v="1000"/>
    <x v="22"/>
  </r>
  <r>
    <n v="590"/>
    <x v="255"/>
    <s v="CUST590"/>
    <s v="Male"/>
    <n v="36"/>
    <s v="Clothing"/>
    <n v="3"/>
    <n v="300"/>
    <n v="900"/>
    <x v="255"/>
  </r>
  <r>
    <n v="591"/>
    <x v="2"/>
    <s v="CUST591"/>
    <s v="Male"/>
    <n v="53"/>
    <s v="Electronics"/>
    <n v="4"/>
    <n v="25"/>
    <n v="100"/>
    <x v="2"/>
  </r>
  <r>
    <n v="592"/>
    <x v="58"/>
    <s v="CUST592"/>
    <s v="Female"/>
    <n v="46"/>
    <s v="Beauty"/>
    <n v="4"/>
    <n v="500"/>
    <n v="2000"/>
    <x v="58"/>
  </r>
  <r>
    <n v="593"/>
    <x v="4"/>
    <s v="CUST593"/>
    <s v="Male"/>
    <n v="35"/>
    <s v="Electronics"/>
    <n v="2"/>
    <n v="30"/>
    <n v="60"/>
    <x v="4"/>
  </r>
  <r>
    <n v="594"/>
    <x v="152"/>
    <s v="CUST594"/>
    <s v="Female"/>
    <n v="19"/>
    <s v="Electronics"/>
    <n v="2"/>
    <n v="300"/>
    <n v="600"/>
    <x v="152"/>
  </r>
  <r>
    <n v="595"/>
    <x v="289"/>
    <s v="CUST595"/>
    <s v="Female"/>
    <n v="18"/>
    <s v="Clothing"/>
    <n v="4"/>
    <n v="500"/>
    <n v="2000"/>
    <x v="289"/>
  </r>
  <r>
    <n v="596"/>
    <x v="227"/>
    <s v="CUST596"/>
    <s v="Female"/>
    <n v="64"/>
    <s v="Electronics"/>
    <n v="1"/>
    <n v="300"/>
    <n v="300"/>
    <x v="227"/>
  </r>
  <r>
    <n v="597"/>
    <x v="290"/>
    <s v="CUST597"/>
    <s v="Male"/>
    <n v="22"/>
    <s v="Beauty"/>
    <n v="4"/>
    <n v="300"/>
    <n v="1200"/>
    <x v="290"/>
  </r>
  <r>
    <n v="598"/>
    <x v="291"/>
    <s v="CUST598"/>
    <s v="Male"/>
    <n v="37"/>
    <s v="Beauty"/>
    <n v="4"/>
    <n v="30"/>
    <n v="120"/>
    <x v="291"/>
  </r>
  <r>
    <n v="599"/>
    <x v="292"/>
    <s v="CUST599"/>
    <s v="Female"/>
    <n v="28"/>
    <s v="Beauty"/>
    <n v="2"/>
    <n v="50"/>
    <n v="100"/>
    <x v="292"/>
  </r>
  <r>
    <n v="600"/>
    <x v="293"/>
    <s v="CUST600"/>
    <s v="Female"/>
    <n v="59"/>
    <s v="Beauty"/>
    <n v="2"/>
    <n v="500"/>
    <n v="1000"/>
    <x v="293"/>
  </r>
  <r>
    <n v="601"/>
    <x v="294"/>
    <s v="CUST601"/>
    <s v="Male"/>
    <n v="19"/>
    <s v="Clothing"/>
    <n v="1"/>
    <n v="30"/>
    <n v="30"/>
    <x v="294"/>
  </r>
  <r>
    <n v="602"/>
    <x v="204"/>
    <s v="CUST602"/>
    <s v="Female"/>
    <n v="20"/>
    <s v="Electronics"/>
    <n v="1"/>
    <n v="300"/>
    <n v="300"/>
    <x v="204"/>
  </r>
  <r>
    <n v="603"/>
    <x v="295"/>
    <s v="CUST603"/>
    <s v="Female"/>
    <n v="40"/>
    <s v="Clothing"/>
    <n v="3"/>
    <n v="30"/>
    <n v="90"/>
    <x v="295"/>
  </r>
  <r>
    <n v="604"/>
    <x v="296"/>
    <s v="CUST604"/>
    <s v="Female"/>
    <n v="29"/>
    <s v="Electronics"/>
    <n v="4"/>
    <n v="50"/>
    <n v="200"/>
    <x v="296"/>
  </r>
  <r>
    <n v="605"/>
    <x v="104"/>
    <s v="CUST605"/>
    <s v="Male"/>
    <n v="37"/>
    <s v="Electronics"/>
    <n v="2"/>
    <n v="500"/>
    <n v="1000"/>
    <x v="104"/>
  </r>
  <r>
    <n v="606"/>
    <x v="179"/>
    <s v="CUST606"/>
    <s v="Male"/>
    <n v="22"/>
    <s v="Electronics"/>
    <n v="1"/>
    <n v="50"/>
    <n v="50"/>
    <x v="179"/>
  </r>
  <r>
    <n v="607"/>
    <x v="255"/>
    <s v="CUST607"/>
    <s v="Male"/>
    <n v="54"/>
    <s v="Clothing"/>
    <n v="3"/>
    <n v="25"/>
    <n v="75"/>
    <x v="255"/>
  </r>
  <r>
    <n v="608"/>
    <x v="92"/>
    <s v="CUST608"/>
    <s v="Female"/>
    <n v="55"/>
    <s v="Electronics"/>
    <n v="3"/>
    <n v="500"/>
    <n v="1500"/>
    <x v="92"/>
  </r>
  <r>
    <n v="609"/>
    <x v="80"/>
    <s v="CUST609"/>
    <s v="Female"/>
    <n v="47"/>
    <s v="Clothing"/>
    <n v="2"/>
    <n v="50"/>
    <n v="100"/>
    <x v="80"/>
  </r>
  <r>
    <n v="610"/>
    <x v="297"/>
    <s v="CUST610"/>
    <s v="Female"/>
    <n v="26"/>
    <s v="Beauty"/>
    <n v="2"/>
    <n v="300"/>
    <n v="600"/>
    <x v="297"/>
  </r>
  <r>
    <n v="611"/>
    <x v="130"/>
    <s v="CUST611"/>
    <s v="Male"/>
    <n v="51"/>
    <s v="Beauty"/>
    <n v="3"/>
    <n v="500"/>
    <n v="1500"/>
    <x v="130"/>
  </r>
  <r>
    <n v="612"/>
    <x v="298"/>
    <s v="CUST612"/>
    <s v="Female"/>
    <n v="61"/>
    <s v="Electronics"/>
    <n v="1"/>
    <n v="500"/>
    <n v="500"/>
    <x v="298"/>
  </r>
  <r>
    <n v="613"/>
    <x v="26"/>
    <s v="CUST613"/>
    <s v="Female"/>
    <n v="52"/>
    <s v="Clothing"/>
    <n v="3"/>
    <n v="30"/>
    <n v="90"/>
    <x v="26"/>
  </r>
  <r>
    <n v="614"/>
    <x v="258"/>
    <s v="CUST614"/>
    <s v="Female"/>
    <n v="39"/>
    <s v="Beauty"/>
    <n v="4"/>
    <n v="300"/>
    <n v="1200"/>
    <x v="258"/>
  </r>
  <r>
    <n v="615"/>
    <x v="204"/>
    <s v="CUST615"/>
    <s v="Female"/>
    <n v="61"/>
    <s v="Clothing"/>
    <n v="4"/>
    <n v="25"/>
    <n v="100"/>
    <x v="204"/>
  </r>
  <r>
    <n v="616"/>
    <x v="299"/>
    <s v="CUST616"/>
    <s v="Male"/>
    <n v="41"/>
    <s v="Clothing"/>
    <n v="2"/>
    <n v="50"/>
    <n v="100"/>
    <x v="299"/>
  </r>
  <r>
    <n v="617"/>
    <x v="300"/>
    <s v="CUST617"/>
    <s v="Male"/>
    <n v="34"/>
    <s v="Electronics"/>
    <n v="1"/>
    <n v="30"/>
    <n v="30"/>
    <x v="300"/>
  </r>
  <r>
    <n v="618"/>
    <x v="197"/>
    <s v="CUST618"/>
    <s v="Female"/>
    <n v="27"/>
    <s v="Beauty"/>
    <n v="1"/>
    <n v="50"/>
    <n v="50"/>
    <x v="197"/>
  </r>
  <r>
    <n v="619"/>
    <x v="81"/>
    <s v="CUST619"/>
    <s v="Male"/>
    <n v="47"/>
    <s v="Electronics"/>
    <n v="4"/>
    <n v="25"/>
    <n v="100"/>
    <x v="81"/>
  </r>
  <r>
    <n v="620"/>
    <x v="193"/>
    <s v="CUST620"/>
    <s v="Male"/>
    <n v="63"/>
    <s v="Electronics"/>
    <n v="3"/>
    <n v="25"/>
    <n v="75"/>
    <x v="193"/>
  </r>
  <r>
    <n v="621"/>
    <x v="301"/>
    <s v="CUST621"/>
    <s v="Female"/>
    <n v="40"/>
    <s v="Beauty"/>
    <n v="2"/>
    <n v="500"/>
    <n v="1000"/>
    <x v="301"/>
  </r>
  <r>
    <n v="622"/>
    <x v="290"/>
    <s v="CUST622"/>
    <s v="Female"/>
    <n v="49"/>
    <s v="Beauty"/>
    <n v="3"/>
    <n v="25"/>
    <n v="75"/>
    <x v="290"/>
  </r>
  <r>
    <n v="623"/>
    <x v="239"/>
    <s v="CUST623"/>
    <s v="Male"/>
    <n v="34"/>
    <s v="Clothing"/>
    <n v="3"/>
    <n v="50"/>
    <n v="150"/>
    <x v="239"/>
  </r>
  <r>
    <n v="624"/>
    <x v="300"/>
    <s v="CUST624"/>
    <s v="Female"/>
    <n v="34"/>
    <s v="Beauty"/>
    <n v="3"/>
    <n v="300"/>
    <n v="900"/>
    <x v="300"/>
  </r>
  <r>
    <n v="625"/>
    <x v="236"/>
    <s v="CUST625"/>
    <s v="Male"/>
    <n v="31"/>
    <s v="Clothing"/>
    <n v="1"/>
    <n v="300"/>
    <n v="300"/>
    <x v="236"/>
  </r>
  <r>
    <n v="626"/>
    <x v="136"/>
    <s v="CUST626"/>
    <s v="Female"/>
    <n v="26"/>
    <s v="Clothing"/>
    <n v="4"/>
    <n v="500"/>
    <n v="2000"/>
    <x v="136"/>
  </r>
  <r>
    <n v="627"/>
    <x v="257"/>
    <s v="CUST627"/>
    <s v="Male"/>
    <n v="57"/>
    <s v="Clothing"/>
    <n v="1"/>
    <n v="50"/>
    <n v="50"/>
    <x v="257"/>
  </r>
  <r>
    <n v="628"/>
    <x v="215"/>
    <s v="CUST628"/>
    <s v="Female"/>
    <n v="19"/>
    <s v="Beauty"/>
    <n v="4"/>
    <n v="50"/>
    <n v="200"/>
    <x v="215"/>
  </r>
  <r>
    <n v="629"/>
    <x v="302"/>
    <s v="CUST629"/>
    <s v="Male"/>
    <n v="62"/>
    <s v="Electronics"/>
    <n v="2"/>
    <n v="25"/>
    <n v="50"/>
    <x v="302"/>
  </r>
  <r>
    <n v="630"/>
    <x v="196"/>
    <s v="CUST630"/>
    <s v="Male"/>
    <n v="42"/>
    <s v="Clothing"/>
    <n v="2"/>
    <n v="50"/>
    <n v="100"/>
    <x v="196"/>
  </r>
  <r>
    <n v="631"/>
    <x v="235"/>
    <s v="CUST631"/>
    <s v="Male"/>
    <n v="56"/>
    <s v="Electronics"/>
    <n v="3"/>
    <n v="30"/>
    <n v="90"/>
    <x v="235"/>
  </r>
  <r>
    <n v="632"/>
    <x v="18"/>
    <s v="CUST632"/>
    <s v="Female"/>
    <n v="26"/>
    <s v="Electronics"/>
    <n v="4"/>
    <n v="25"/>
    <n v="100"/>
    <x v="18"/>
  </r>
  <r>
    <n v="633"/>
    <x v="252"/>
    <s v="CUST633"/>
    <s v="Male"/>
    <n v="39"/>
    <s v="Beauty"/>
    <n v="4"/>
    <n v="30"/>
    <n v="120"/>
    <x v="252"/>
  </r>
  <r>
    <n v="634"/>
    <x v="283"/>
    <s v="CUST634"/>
    <s v="Male"/>
    <n v="60"/>
    <s v="Electronics"/>
    <n v="4"/>
    <n v="500"/>
    <n v="2000"/>
    <x v="283"/>
  </r>
  <r>
    <n v="635"/>
    <x v="303"/>
    <s v="CUST635"/>
    <s v="Female"/>
    <n v="63"/>
    <s v="Electronics"/>
    <n v="3"/>
    <n v="300"/>
    <n v="900"/>
    <x v="303"/>
  </r>
  <r>
    <n v="636"/>
    <x v="31"/>
    <s v="CUST636"/>
    <s v="Female"/>
    <n v="21"/>
    <s v="Beauty"/>
    <n v="3"/>
    <n v="500"/>
    <n v="1500"/>
    <x v="31"/>
  </r>
  <r>
    <n v="637"/>
    <x v="152"/>
    <s v="CUST637"/>
    <s v="Male"/>
    <n v="43"/>
    <s v="Clothing"/>
    <n v="2"/>
    <n v="300"/>
    <n v="600"/>
    <x v="152"/>
  </r>
  <r>
    <n v="638"/>
    <x v="304"/>
    <s v="CUST638"/>
    <s v="Male"/>
    <n v="46"/>
    <s v="Electronics"/>
    <n v="1"/>
    <n v="500"/>
    <n v="500"/>
    <x v="304"/>
  </r>
  <r>
    <n v="639"/>
    <x v="305"/>
    <s v="CUST639"/>
    <s v="Female"/>
    <n v="62"/>
    <s v="Beauty"/>
    <n v="4"/>
    <n v="50"/>
    <n v="200"/>
    <x v="305"/>
  </r>
  <r>
    <n v="640"/>
    <x v="98"/>
    <s v="CUST640"/>
    <s v="Female"/>
    <n v="51"/>
    <s v="Electronics"/>
    <n v="4"/>
    <n v="30"/>
    <n v="120"/>
    <x v="98"/>
  </r>
  <r>
    <n v="641"/>
    <x v="250"/>
    <s v="CUST641"/>
    <s v="Female"/>
    <n v="40"/>
    <s v="Electronics"/>
    <n v="1"/>
    <n v="300"/>
    <n v="300"/>
    <x v="250"/>
  </r>
  <r>
    <n v="642"/>
    <x v="247"/>
    <s v="CUST642"/>
    <s v="Female"/>
    <n v="54"/>
    <s v="Clothing"/>
    <n v="4"/>
    <n v="25"/>
    <n v="100"/>
    <x v="247"/>
  </r>
  <r>
    <n v="643"/>
    <x v="272"/>
    <s v="CUST643"/>
    <s v="Female"/>
    <n v="28"/>
    <s v="Electronics"/>
    <n v="3"/>
    <n v="30"/>
    <n v="90"/>
    <x v="272"/>
  </r>
  <r>
    <n v="644"/>
    <x v="147"/>
    <s v="CUST644"/>
    <s v="Male"/>
    <n v="23"/>
    <s v="Beauty"/>
    <n v="3"/>
    <n v="25"/>
    <n v="75"/>
    <x v="147"/>
  </r>
  <r>
    <n v="645"/>
    <x v="131"/>
    <s v="CUST645"/>
    <s v="Female"/>
    <n v="35"/>
    <s v="Electronics"/>
    <n v="4"/>
    <n v="30"/>
    <n v="120"/>
    <x v="131"/>
  </r>
  <r>
    <n v="646"/>
    <x v="143"/>
    <s v="CUST646"/>
    <s v="Male"/>
    <n v="38"/>
    <s v="Clothing"/>
    <n v="3"/>
    <n v="30"/>
    <n v="90"/>
    <x v="143"/>
  </r>
  <r>
    <n v="647"/>
    <x v="3"/>
    <s v="CUST647"/>
    <s v="Male"/>
    <n v="59"/>
    <s v="Clothing"/>
    <n v="3"/>
    <n v="500"/>
    <n v="1500"/>
    <x v="3"/>
  </r>
  <r>
    <n v="648"/>
    <x v="306"/>
    <s v="CUST648"/>
    <s v="Male"/>
    <n v="53"/>
    <s v="Beauty"/>
    <n v="4"/>
    <n v="300"/>
    <n v="1200"/>
    <x v="306"/>
  </r>
  <r>
    <n v="649"/>
    <x v="307"/>
    <s v="CUST649"/>
    <s v="Female"/>
    <n v="58"/>
    <s v="Clothing"/>
    <n v="2"/>
    <n v="300"/>
    <n v="600"/>
    <x v="307"/>
  </r>
  <r>
    <n v="650"/>
    <x v="158"/>
    <s v="CUST650"/>
    <s v="Male"/>
    <n v="55"/>
    <s v="Electronics"/>
    <n v="1"/>
    <n v="30"/>
    <n v="30"/>
    <x v="158"/>
  </r>
  <r>
    <n v="651"/>
    <x v="203"/>
    <s v="CUST651"/>
    <s v="Male"/>
    <n v="51"/>
    <s v="Clothing"/>
    <n v="3"/>
    <n v="50"/>
    <n v="150"/>
    <x v="203"/>
  </r>
  <r>
    <n v="652"/>
    <x v="217"/>
    <s v="CUST652"/>
    <s v="Female"/>
    <n v="34"/>
    <s v="Beauty"/>
    <n v="2"/>
    <n v="50"/>
    <n v="100"/>
    <x v="217"/>
  </r>
  <r>
    <n v="653"/>
    <x v="241"/>
    <s v="CUST653"/>
    <s v="Male"/>
    <n v="54"/>
    <s v="Clothing"/>
    <n v="3"/>
    <n v="25"/>
    <n v="75"/>
    <x v="241"/>
  </r>
  <r>
    <n v="654"/>
    <x v="288"/>
    <s v="CUST654"/>
    <s v="Male"/>
    <n v="42"/>
    <s v="Clothing"/>
    <n v="3"/>
    <n v="25"/>
    <n v="75"/>
    <x v="288"/>
  </r>
  <r>
    <n v="655"/>
    <x v="308"/>
    <s v="CUST655"/>
    <s v="Female"/>
    <n v="55"/>
    <s v="Clothing"/>
    <n v="1"/>
    <n v="500"/>
    <n v="500"/>
    <x v="308"/>
  </r>
  <r>
    <n v="656"/>
    <x v="135"/>
    <s v="CUST656"/>
    <s v="Male"/>
    <n v="29"/>
    <s v="Beauty"/>
    <n v="3"/>
    <n v="30"/>
    <n v="90"/>
    <x v="135"/>
  </r>
  <r>
    <n v="657"/>
    <x v="213"/>
    <s v="CUST657"/>
    <s v="Male"/>
    <n v="40"/>
    <s v="Clothing"/>
    <n v="1"/>
    <n v="25"/>
    <n v="25"/>
    <x v="213"/>
  </r>
  <r>
    <n v="658"/>
    <x v="105"/>
    <s v="CUST658"/>
    <s v="Male"/>
    <n v="59"/>
    <s v="Clothing"/>
    <n v="1"/>
    <n v="25"/>
    <n v="25"/>
    <x v="105"/>
  </r>
  <r>
    <n v="659"/>
    <x v="309"/>
    <s v="CUST659"/>
    <s v="Female"/>
    <n v="39"/>
    <s v="Electronics"/>
    <n v="1"/>
    <n v="30"/>
    <n v="30"/>
    <x v="309"/>
  </r>
  <r>
    <n v="660"/>
    <x v="310"/>
    <s v="CUST660"/>
    <s v="Female"/>
    <n v="38"/>
    <s v="Beauty"/>
    <n v="2"/>
    <n v="500"/>
    <n v="1000"/>
    <x v="310"/>
  </r>
  <r>
    <n v="661"/>
    <x v="295"/>
    <s v="CUST661"/>
    <s v="Female"/>
    <n v="44"/>
    <s v="Clothing"/>
    <n v="4"/>
    <n v="25"/>
    <n v="100"/>
    <x v="295"/>
  </r>
  <r>
    <n v="662"/>
    <x v="311"/>
    <s v="CUST662"/>
    <s v="Male"/>
    <n v="48"/>
    <s v="Beauty"/>
    <n v="2"/>
    <n v="500"/>
    <n v="1000"/>
    <x v="311"/>
  </r>
  <r>
    <n v="663"/>
    <x v="111"/>
    <s v="CUST663"/>
    <s v="Male"/>
    <n v="23"/>
    <s v="Clothing"/>
    <n v="4"/>
    <n v="300"/>
    <n v="1200"/>
    <x v="111"/>
  </r>
  <r>
    <n v="664"/>
    <x v="251"/>
    <s v="CUST664"/>
    <s v="Female"/>
    <n v="44"/>
    <s v="Clothing"/>
    <n v="4"/>
    <n v="500"/>
    <n v="2000"/>
    <x v="251"/>
  </r>
  <r>
    <n v="665"/>
    <x v="175"/>
    <s v="CUST665"/>
    <s v="Male"/>
    <n v="57"/>
    <s v="Clothing"/>
    <n v="1"/>
    <n v="50"/>
    <n v="50"/>
    <x v="175"/>
  </r>
  <r>
    <n v="666"/>
    <x v="114"/>
    <s v="CUST666"/>
    <s v="Male"/>
    <n v="51"/>
    <s v="Electronics"/>
    <n v="3"/>
    <n v="50"/>
    <n v="150"/>
    <x v="114"/>
  </r>
  <r>
    <n v="667"/>
    <x v="291"/>
    <s v="CUST667"/>
    <s v="Female"/>
    <n v="29"/>
    <s v="Electronics"/>
    <n v="1"/>
    <n v="500"/>
    <n v="500"/>
    <x v="291"/>
  </r>
  <r>
    <n v="668"/>
    <x v="180"/>
    <s v="CUST668"/>
    <s v="Female"/>
    <n v="62"/>
    <s v="Electronics"/>
    <n v="3"/>
    <n v="50"/>
    <n v="150"/>
    <x v="180"/>
  </r>
  <r>
    <n v="669"/>
    <x v="171"/>
    <s v="CUST669"/>
    <s v="Male"/>
    <n v="24"/>
    <s v="Beauty"/>
    <n v="4"/>
    <n v="300"/>
    <n v="1200"/>
    <x v="171"/>
  </r>
  <r>
    <n v="670"/>
    <x v="209"/>
    <s v="CUST670"/>
    <s v="Male"/>
    <n v="27"/>
    <s v="Beauty"/>
    <n v="1"/>
    <n v="30"/>
    <n v="30"/>
    <x v="209"/>
  </r>
  <r>
    <n v="671"/>
    <x v="286"/>
    <s v="CUST671"/>
    <s v="Male"/>
    <n v="62"/>
    <s v="Electronics"/>
    <n v="3"/>
    <n v="50"/>
    <n v="150"/>
    <x v="286"/>
  </r>
  <r>
    <n v="672"/>
    <x v="291"/>
    <s v="CUST672"/>
    <s v="Female"/>
    <n v="34"/>
    <s v="Beauty"/>
    <n v="2"/>
    <n v="50"/>
    <n v="100"/>
    <x v="291"/>
  </r>
  <r>
    <n v="673"/>
    <x v="190"/>
    <s v="CUST673"/>
    <s v="Female"/>
    <n v="43"/>
    <s v="Clothing"/>
    <n v="3"/>
    <n v="500"/>
    <n v="1500"/>
    <x v="190"/>
  </r>
  <r>
    <n v="674"/>
    <x v="312"/>
    <s v="CUST674"/>
    <s v="Female"/>
    <n v="38"/>
    <s v="Clothing"/>
    <n v="1"/>
    <n v="300"/>
    <n v="300"/>
    <x v="312"/>
  </r>
  <r>
    <n v="675"/>
    <x v="279"/>
    <s v="CUST675"/>
    <s v="Female"/>
    <n v="45"/>
    <s v="Clothing"/>
    <n v="2"/>
    <n v="30"/>
    <n v="60"/>
    <x v="279"/>
  </r>
  <r>
    <n v="676"/>
    <x v="202"/>
    <s v="CUST676"/>
    <s v="Male"/>
    <n v="63"/>
    <s v="Electronics"/>
    <n v="3"/>
    <n v="500"/>
    <n v="1500"/>
    <x v="202"/>
  </r>
  <r>
    <n v="677"/>
    <x v="101"/>
    <s v="CUST677"/>
    <s v="Female"/>
    <n v="19"/>
    <s v="Beauty"/>
    <n v="3"/>
    <n v="500"/>
    <n v="1500"/>
    <x v="101"/>
  </r>
  <r>
    <n v="678"/>
    <x v="204"/>
    <s v="CUST678"/>
    <s v="Female"/>
    <n v="60"/>
    <s v="Electronics"/>
    <n v="3"/>
    <n v="300"/>
    <n v="900"/>
    <x v="204"/>
  </r>
  <r>
    <n v="679"/>
    <x v="166"/>
    <s v="CUST679"/>
    <s v="Female"/>
    <n v="18"/>
    <s v="Beauty"/>
    <n v="3"/>
    <n v="30"/>
    <n v="90"/>
    <x v="166"/>
  </r>
  <r>
    <n v="680"/>
    <x v="293"/>
    <s v="CUST680"/>
    <s v="Female"/>
    <n v="53"/>
    <s v="Clothing"/>
    <n v="3"/>
    <n v="300"/>
    <n v="900"/>
    <x v="293"/>
  </r>
  <r>
    <n v="681"/>
    <x v="37"/>
    <s v="CUST681"/>
    <s v="Female"/>
    <n v="43"/>
    <s v="Electronics"/>
    <n v="2"/>
    <n v="30"/>
    <n v="60"/>
    <x v="37"/>
  </r>
  <r>
    <n v="682"/>
    <x v="211"/>
    <s v="CUST682"/>
    <s v="Male"/>
    <n v="46"/>
    <s v="Beauty"/>
    <n v="4"/>
    <n v="300"/>
    <n v="1200"/>
    <x v="211"/>
  </r>
  <r>
    <n v="683"/>
    <x v="30"/>
    <s v="CUST683"/>
    <s v="Male"/>
    <n v="38"/>
    <s v="Beauty"/>
    <n v="2"/>
    <n v="500"/>
    <n v="1000"/>
    <x v="30"/>
  </r>
  <r>
    <n v="684"/>
    <x v="313"/>
    <s v="CUST684"/>
    <s v="Female"/>
    <n v="28"/>
    <s v="Clothing"/>
    <n v="2"/>
    <n v="500"/>
    <n v="1000"/>
    <x v="313"/>
  </r>
  <r>
    <n v="685"/>
    <x v="132"/>
    <s v="CUST685"/>
    <s v="Male"/>
    <n v="57"/>
    <s v="Electronics"/>
    <n v="2"/>
    <n v="25"/>
    <n v="50"/>
    <x v="132"/>
  </r>
  <r>
    <n v="686"/>
    <x v="202"/>
    <s v="CUST686"/>
    <s v="Female"/>
    <n v="28"/>
    <s v="Electronics"/>
    <n v="4"/>
    <n v="50"/>
    <n v="200"/>
    <x v="202"/>
  </r>
  <r>
    <n v="687"/>
    <x v="25"/>
    <s v="CUST687"/>
    <s v="Female"/>
    <n v="53"/>
    <s v="Electronics"/>
    <n v="1"/>
    <n v="300"/>
    <n v="300"/>
    <x v="25"/>
  </r>
  <r>
    <n v="688"/>
    <x v="99"/>
    <s v="CUST688"/>
    <s v="Male"/>
    <n v="56"/>
    <s v="Clothing"/>
    <n v="4"/>
    <n v="25"/>
    <n v="100"/>
    <x v="99"/>
  </r>
  <r>
    <n v="689"/>
    <x v="9"/>
    <s v="CUST689"/>
    <s v="Male"/>
    <n v="57"/>
    <s v="Electronics"/>
    <n v="2"/>
    <n v="50"/>
    <n v="100"/>
    <x v="9"/>
  </r>
  <r>
    <n v="690"/>
    <x v="19"/>
    <s v="CUST690"/>
    <s v="Female"/>
    <n v="52"/>
    <s v="Clothing"/>
    <n v="3"/>
    <n v="300"/>
    <n v="900"/>
    <x v="19"/>
  </r>
  <r>
    <n v="691"/>
    <x v="26"/>
    <s v="CUST691"/>
    <s v="Female"/>
    <n v="51"/>
    <s v="Clothing"/>
    <n v="3"/>
    <n v="30"/>
    <n v="90"/>
    <x v="26"/>
  </r>
  <r>
    <n v="692"/>
    <x v="206"/>
    <s v="CUST692"/>
    <s v="Female"/>
    <n v="64"/>
    <s v="Clothing"/>
    <n v="2"/>
    <n v="50"/>
    <n v="100"/>
    <x v="206"/>
  </r>
  <r>
    <n v="693"/>
    <x v="26"/>
    <s v="CUST693"/>
    <s v="Male"/>
    <n v="41"/>
    <s v="Beauty"/>
    <n v="3"/>
    <n v="500"/>
    <n v="1500"/>
    <x v="26"/>
  </r>
  <r>
    <n v="694"/>
    <x v="241"/>
    <s v="CUST694"/>
    <s v="Female"/>
    <n v="39"/>
    <s v="Electronics"/>
    <n v="2"/>
    <n v="25"/>
    <n v="50"/>
    <x v="241"/>
  </r>
  <r>
    <n v="695"/>
    <x v="269"/>
    <s v="CUST695"/>
    <s v="Female"/>
    <n v="22"/>
    <s v="Electronics"/>
    <n v="3"/>
    <n v="50"/>
    <n v="150"/>
    <x v="269"/>
  </r>
  <r>
    <n v="696"/>
    <x v="147"/>
    <s v="CUST696"/>
    <s v="Female"/>
    <n v="50"/>
    <s v="Clothing"/>
    <n v="4"/>
    <n v="50"/>
    <n v="200"/>
    <x v="147"/>
  </r>
  <r>
    <n v="697"/>
    <x v="267"/>
    <s v="CUST697"/>
    <s v="Male"/>
    <n v="53"/>
    <s v="Clothing"/>
    <n v="1"/>
    <n v="500"/>
    <n v="500"/>
    <x v="267"/>
  </r>
  <r>
    <n v="698"/>
    <x v="202"/>
    <s v="CUST698"/>
    <s v="Female"/>
    <n v="64"/>
    <s v="Electronics"/>
    <n v="1"/>
    <n v="300"/>
    <n v="300"/>
    <x v="202"/>
  </r>
  <r>
    <n v="699"/>
    <x v="36"/>
    <s v="CUST699"/>
    <s v="Female"/>
    <n v="37"/>
    <s v="Clothing"/>
    <n v="4"/>
    <n v="30"/>
    <n v="120"/>
    <x v="36"/>
  </r>
  <r>
    <n v="700"/>
    <x v="174"/>
    <s v="CUST700"/>
    <s v="Male"/>
    <n v="36"/>
    <s v="Electronics"/>
    <n v="4"/>
    <n v="500"/>
    <n v="2000"/>
    <x v="174"/>
  </r>
  <r>
    <n v="701"/>
    <x v="266"/>
    <s v="CUST701"/>
    <s v="Female"/>
    <n v="52"/>
    <s v="Beauty"/>
    <n v="2"/>
    <n v="30"/>
    <n v="60"/>
    <x v="266"/>
  </r>
  <r>
    <n v="702"/>
    <x v="282"/>
    <s v="CUST702"/>
    <s v="Female"/>
    <n v="60"/>
    <s v="Clothing"/>
    <n v="2"/>
    <n v="300"/>
    <n v="600"/>
    <x v="282"/>
  </r>
  <r>
    <n v="703"/>
    <x v="154"/>
    <s v="CUST703"/>
    <s v="Male"/>
    <n v="34"/>
    <s v="Electronics"/>
    <n v="2"/>
    <n v="50"/>
    <n v="100"/>
    <x v="154"/>
  </r>
  <r>
    <n v="704"/>
    <x v="117"/>
    <s v="CUST704"/>
    <s v="Female"/>
    <n v="62"/>
    <s v="Clothing"/>
    <n v="3"/>
    <n v="30"/>
    <n v="90"/>
    <x v="117"/>
  </r>
  <r>
    <n v="705"/>
    <x v="150"/>
    <s v="CUST705"/>
    <s v="Male"/>
    <n v="60"/>
    <s v="Electronics"/>
    <n v="2"/>
    <n v="25"/>
    <n v="50"/>
    <x v="150"/>
  </r>
  <r>
    <n v="706"/>
    <x v="229"/>
    <s v="CUST706"/>
    <s v="Male"/>
    <n v="51"/>
    <s v="Electronics"/>
    <n v="4"/>
    <n v="25"/>
    <n v="100"/>
    <x v="229"/>
  </r>
  <r>
    <n v="707"/>
    <x v="77"/>
    <s v="CUST707"/>
    <s v="Female"/>
    <n v="26"/>
    <s v="Clothing"/>
    <n v="1"/>
    <n v="500"/>
    <n v="500"/>
    <x v="77"/>
  </r>
  <r>
    <n v="708"/>
    <x v="20"/>
    <s v="CUST708"/>
    <s v="Female"/>
    <n v="43"/>
    <s v="Beauty"/>
    <n v="3"/>
    <n v="300"/>
    <n v="900"/>
    <x v="20"/>
  </r>
  <r>
    <n v="709"/>
    <x v="314"/>
    <s v="CUST709"/>
    <s v="Female"/>
    <n v="19"/>
    <s v="Electronics"/>
    <n v="2"/>
    <n v="500"/>
    <n v="1000"/>
    <x v="314"/>
  </r>
  <r>
    <n v="710"/>
    <x v="315"/>
    <s v="CUST710"/>
    <s v="Female"/>
    <n v="26"/>
    <s v="Electronics"/>
    <n v="3"/>
    <n v="500"/>
    <n v="1500"/>
    <x v="315"/>
  </r>
  <r>
    <n v="711"/>
    <x v="230"/>
    <s v="CUST711"/>
    <s v="Male"/>
    <n v="26"/>
    <s v="Electronics"/>
    <n v="3"/>
    <n v="500"/>
    <n v="1500"/>
    <x v="230"/>
  </r>
  <r>
    <n v="712"/>
    <x v="237"/>
    <s v="CUST712"/>
    <s v="Female"/>
    <n v="57"/>
    <s v="Beauty"/>
    <n v="2"/>
    <n v="25"/>
    <n v="50"/>
    <x v="237"/>
  </r>
  <r>
    <n v="713"/>
    <x v="20"/>
    <s v="CUST713"/>
    <s v="Male"/>
    <n v="34"/>
    <s v="Beauty"/>
    <n v="3"/>
    <n v="25"/>
    <n v="75"/>
    <x v="20"/>
  </r>
  <r>
    <n v="714"/>
    <x v="316"/>
    <s v="CUST714"/>
    <s v="Female"/>
    <n v="18"/>
    <s v="Clothing"/>
    <n v="1"/>
    <n v="500"/>
    <n v="500"/>
    <x v="316"/>
  </r>
  <r>
    <n v="715"/>
    <x v="95"/>
    <s v="CUST715"/>
    <s v="Female"/>
    <n v="42"/>
    <s v="Beauty"/>
    <n v="4"/>
    <n v="25"/>
    <n v="100"/>
    <x v="95"/>
  </r>
  <r>
    <n v="716"/>
    <x v="102"/>
    <s v="CUST716"/>
    <s v="Female"/>
    <n v="60"/>
    <s v="Clothing"/>
    <n v="4"/>
    <n v="300"/>
    <n v="1200"/>
    <x v="102"/>
  </r>
  <r>
    <n v="717"/>
    <x v="317"/>
    <s v="CUST717"/>
    <s v="Male"/>
    <n v="57"/>
    <s v="Clothing"/>
    <n v="1"/>
    <n v="500"/>
    <n v="500"/>
    <x v="317"/>
  </r>
  <r>
    <n v="718"/>
    <x v="78"/>
    <s v="CUST718"/>
    <s v="Female"/>
    <n v="59"/>
    <s v="Beauty"/>
    <n v="3"/>
    <n v="25"/>
    <n v="75"/>
    <x v="78"/>
  </r>
  <r>
    <n v="719"/>
    <x v="194"/>
    <s v="CUST719"/>
    <s v="Female"/>
    <n v="42"/>
    <s v="Clothing"/>
    <n v="2"/>
    <n v="30"/>
    <n v="60"/>
    <x v="194"/>
  </r>
  <r>
    <n v="720"/>
    <x v="197"/>
    <s v="CUST720"/>
    <s v="Female"/>
    <n v="56"/>
    <s v="Beauty"/>
    <n v="3"/>
    <n v="500"/>
    <n v="1500"/>
    <x v="197"/>
  </r>
  <r>
    <n v="721"/>
    <x v="224"/>
    <s v="CUST721"/>
    <s v="Female"/>
    <n v="52"/>
    <s v="Clothing"/>
    <n v="1"/>
    <n v="500"/>
    <n v="500"/>
    <x v="224"/>
  </r>
  <r>
    <n v="722"/>
    <x v="37"/>
    <s v="CUST722"/>
    <s v="Male"/>
    <n v="20"/>
    <s v="Beauty"/>
    <n v="3"/>
    <n v="300"/>
    <n v="900"/>
    <x v="37"/>
  </r>
  <r>
    <n v="723"/>
    <x v="278"/>
    <s v="CUST723"/>
    <s v="Female"/>
    <n v="54"/>
    <s v="Beauty"/>
    <n v="4"/>
    <n v="50"/>
    <n v="200"/>
    <x v="278"/>
  </r>
  <r>
    <n v="724"/>
    <x v="90"/>
    <s v="CUST724"/>
    <s v="Male"/>
    <n v="61"/>
    <s v="Clothing"/>
    <n v="3"/>
    <n v="50"/>
    <n v="150"/>
    <x v="90"/>
  </r>
  <r>
    <n v="725"/>
    <x v="63"/>
    <s v="CUST725"/>
    <s v="Male"/>
    <n v="61"/>
    <s v="Electronics"/>
    <n v="1"/>
    <n v="300"/>
    <n v="300"/>
    <x v="63"/>
  </r>
  <r>
    <n v="726"/>
    <x v="278"/>
    <s v="CUST726"/>
    <s v="Male"/>
    <n v="47"/>
    <s v="Clothing"/>
    <n v="4"/>
    <n v="300"/>
    <n v="1200"/>
    <x v="278"/>
  </r>
  <r>
    <n v="727"/>
    <x v="36"/>
    <s v="CUST727"/>
    <s v="Male"/>
    <n v="55"/>
    <s v="Beauty"/>
    <n v="3"/>
    <n v="300"/>
    <n v="900"/>
    <x v="36"/>
  </r>
  <r>
    <n v="728"/>
    <x v="37"/>
    <s v="CUST728"/>
    <s v="Male"/>
    <n v="51"/>
    <s v="Electronics"/>
    <n v="3"/>
    <n v="50"/>
    <n v="150"/>
    <x v="37"/>
  </r>
  <r>
    <n v="729"/>
    <x v="29"/>
    <s v="CUST729"/>
    <s v="Male"/>
    <n v="29"/>
    <s v="Clothing"/>
    <n v="4"/>
    <n v="300"/>
    <n v="1200"/>
    <x v="29"/>
  </r>
  <r>
    <n v="730"/>
    <x v="279"/>
    <s v="CUST730"/>
    <s v="Female"/>
    <n v="36"/>
    <s v="Clothing"/>
    <n v="2"/>
    <n v="25"/>
    <n v="50"/>
    <x v="279"/>
  </r>
  <r>
    <n v="731"/>
    <x v="318"/>
    <s v="CUST731"/>
    <s v="Male"/>
    <n v="54"/>
    <s v="Clothing"/>
    <n v="4"/>
    <n v="500"/>
    <n v="2000"/>
    <x v="318"/>
  </r>
  <r>
    <n v="732"/>
    <x v="213"/>
    <s v="CUST732"/>
    <s v="Male"/>
    <n v="61"/>
    <s v="Electronics"/>
    <n v="2"/>
    <n v="500"/>
    <n v="1000"/>
    <x v="213"/>
  </r>
  <r>
    <n v="733"/>
    <x v="261"/>
    <s v="CUST733"/>
    <s v="Male"/>
    <n v="34"/>
    <s v="Beauty"/>
    <n v="1"/>
    <n v="30"/>
    <n v="30"/>
    <x v="261"/>
  </r>
  <r>
    <n v="734"/>
    <x v="141"/>
    <s v="CUST734"/>
    <s v="Female"/>
    <n v="27"/>
    <s v="Clothing"/>
    <n v="1"/>
    <n v="30"/>
    <n v="30"/>
    <x v="141"/>
  </r>
  <r>
    <n v="735"/>
    <x v="135"/>
    <s v="CUST735"/>
    <s v="Female"/>
    <n v="64"/>
    <s v="Clothing"/>
    <n v="4"/>
    <n v="500"/>
    <n v="2000"/>
    <x v="135"/>
  </r>
  <r>
    <n v="736"/>
    <x v="246"/>
    <s v="CUST736"/>
    <s v="Male"/>
    <n v="29"/>
    <s v="Clothing"/>
    <n v="4"/>
    <n v="25"/>
    <n v="100"/>
    <x v="246"/>
  </r>
  <r>
    <n v="737"/>
    <x v="263"/>
    <s v="CUST737"/>
    <s v="Female"/>
    <n v="33"/>
    <s v="Clothing"/>
    <n v="1"/>
    <n v="50"/>
    <n v="50"/>
    <x v="263"/>
  </r>
  <r>
    <n v="738"/>
    <x v="5"/>
    <s v="CUST738"/>
    <s v="Male"/>
    <n v="41"/>
    <s v="Clothing"/>
    <n v="2"/>
    <n v="50"/>
    <n v="100"/>
    <x v="5"/>
  </r>
  <r>
    <n v="739"/>
    <x v="23"/>
    <s v="CUST739"/>
    <s v="Male"/>
    <n v="36"/>
    <s v="Beauty"/>
    <n v="1"/>
    <n v="25"/>
    <n v="25"/>
    <x v="23"/>
  </r>
  <r>
    <n v="740"/>
    <x v="57"/>
    <s v="CUST740"/>
    <s v="Female"/>
    <n v="25"/>
    <s v="Beauty"/>
    <n v="4"/>
    <n v="50"/>
    <n v="200"/>
    <x v="57"/>
  </r>
  <r>
    <n v="741"/>
    <x v="198"/>
    <s v="CUST741"/>
    <s v="Male"/>
    <n v="48"/>
    <s v="Clothing"/>
    <n v="1"/>
    <n v="300"/>
    <n v="300"/>
    <x v="198"/>
  </r>
  <r>
    <n v="742"/>
    <x v="219"/>
    <s v="CUST742"/>
    <s v="Female"/>
    <n v="38"/>
    <s v="Electronics"/>
    <n v="4"/>
    <n v="500"/>
    <n v="2000"/>
    <x v="219"/>
  </r>
  <r>
    <n v="743"/>
    <x v="14"/>
    <s v="CUST743"/>
    <s v="Female"/>
    <n v="34"/>
    <s v="Beauty"/>
    <n v="4"/>
    <n v="500"/>
    <n v="2000"/>
    <x v="14"/>
  </r>
  <r>
    <n v="744"/>
    <x v="98"/>
    <s v="CUST744"/>
    <s v="Male"/>
    <n v="40"/>
    <s v="Electronics"/>
    <n v="1"/>
    <n v="25"/>
    <n v="25"/>
    <x v="98"/>
  </r>
  <r>
    <n v="745"/>
    <x v="157"/>
    <s v="CUST745"/>
    <s v="Male"/>
    <n v="54"/>
    <s v="Beauty"/>
    <n v="2"/>
    <n v="50"/>
    <n v="100"/>
    <x v="157"/>
  </r>
  <r>
    <n v="746"/>
    <x v="166"/>
    <s v="CUST746"/>
    <s v="Female"/>
    <n v="33"/>
    <s v="Clothing"/>
    <n v="3"/>
    <n v="30"/>
    <n v="90"/>
    <x v="166"/>
  </r>
  <r>
    <n v="747"/>
    <x v="229"/>
    <s v="CUST747"/>
    <s v="Male"/>
    <n v="23"/>
    <s v="Beauty"/>
    <n v="1"/>
    <n v="30"/>
    <n v="30"/>
    <x v="229"/>
  </r>
  <r>
    <n v="748"/>
    <x v="111"/>
    <s v="CUST748"/>
    <s v="Male"/>
    <n v="25"/>
    <s v="Clothing"/>
    <n v="3"/>
    <n v="50"/>
    <n v="150"/>
    <x v="111"/>
  </r>
  <r>
    <n v="749"/>
    <x v="143"/>
    <s v="CUST749"/>
    <s v="Male"/>
    <n v="42"/>
    <s v="Beauty"/>
    <n v="1"/>
    <n v="30"/>
    <n v="30"/>
    <x v="143"/>
  </r>
  <r>
    <n v="750"/>
    <x v="149"/>
    <s v="CUST750"/>
    <s v="Female"/>
    <n v="35"/>
    <s v="Clothing"/>
    <n v="3"/>
    <n v="25"/>
    <n v="75"/>
    <x v="149"/>
  </r>
  <r>
    <n v="751"/>
    <x v="178"/>
    <s v="CUST751"/>
    <s v="Female"/>
    <n v="42"/>
    <s v="Clothing"/>
    <n v="2"/>
    <n v="25"/>
    <n v="50"/>
    <x v="178"/>
  </r>
  <r>
    <n v="752"/>
    <x v="174"/>
    <s v="CUST752"/>
    <s v="Male"/>
    <n v="29"/>
    <s v="Clothing"/>
    <n v="2"/>
    <n v="50"/>
    <n v="100"/>
    <x v="174"/>
  </r>
  <r>
    <n v="753"/>
    <x v="122"/>
    <s v="CUST753"/>
    <s v="Female"/>
    <n v="32"/>
    <s v="Clothing"/>
    <n v="1"/>
    <n v="30"/>
    <n v="30"/>
    <x v="122"/>
  </r>
  <r>
    <n v="754"/>
    <x v="230"/>
    <s v="CUST754"/>
    <s v="Female"/>
    <n v="43"/>
    <s v="Electronics"/>
    <n v="4"/>
    <n v="25"/>
    <n v="100"/>
    <x v="230"/>
  </r>
  <r>
    <n v="755"/>
    <x v="16"/>
    <s v="CUST755"/>
    <s v="Female"/>
    <n v="58"/>
    <s v="Clothing"/>
    <n v="3"/>
    <n v="25"/>
    <n v="75"/>
    <x v="16"/>
  </r>
  <r>
    <n v="756"/>
    <x v="286"/>
    <s v="CUST756"/>
    <s v="Female"/>
    <n v="62"/>
    <s v="Electronics"/>
    <n v="4"/>
    <n v="300"/>
    <n v="1200"/>
    <x v="286"/>
  </r>
  <r>
    <n v="757"/>
    <x v="319"/>
    <s v="CUST757"/>
    <s v="Female"/>
    <n v="43"/>
    <s v="Electronics"/>
    <n v="4"/>
    <n v="300"/>
    <n v="1200"/>
    <x v="319"/>
  </r>
  <r>
    <n v="758"/>
    <x v="320"/>
    <s v="CUST758"/>
    <s v="Male"/>
    <n v="64"/>
    <s v="Clothing"/>
    <n v="4"/>
    <n v="25"/>
    <n v="100"/>
    <x v="320"/>
  </r>
  <r>
    <n v="759"/>
    <x v="321"/>
    <s v="CUST759"/>
    <s v="Male"/>
    <n v="49"/>
    <s v="Electronics"/>
    <n v="2"/>
    <n v="50"/>
    <n v="100"/>
    <x v="321"/>
  </r>
  <r>
    <n v="760"/>
    <x v="200"/>
    <s v="CUST760"/>
    <s v="Male"/>
    <n v="27"/>
    <s v="Beauty"/>
    <n v="1"/>
    <n v="500"/>
    <n v="500"/>
    <x v="200"/>
  </r>
  <r>
    <n v="761"/>
    <x v="155"/>
    <s v="CUST761"/>
    <s v="Female"/>
    <n v="33"/>
    <s v="Clothing"/>
    <n v="1"/>
    <n v="500"/>
    <n v="500"/>
    <x v="155"/>
  </r>
  <r>
    <n v="762"/>
    <x v="155"/>
    <s v="CUST762"/>
    <s v="Female"/>
    <n v="24"/>
    <s v="Electronics"/>
    <n v="2"/>
    <n v="25"/>
    <n v="50"/>
    <x v="155"/>
  </r>
  <r>
    <n v="763"/>
    <x v="122"/>
    <s v="CUST763"/>
    <s v="Male"/>
    <n v="34"/>
    <s v="Clothing"/>
    <n v="2"/>
    <n v="25"/>
    <n v="50"/>
    <x v="122"/>
  </r>
  <r>
    <n v="764"/>
    <x v="66"/>
    <s v="CUST764"/>
    <s v="Female"/>
    <n v="40"/>
    <s v="Clothing"/>
    <n v="1"/>
    <n v="25"/>
    <n v="25"/>
    <x v="66"/>
  </r>
  <r>
    <n v="765"/>
    <x v="159"/>
    <s v="CUST765"/>
    <s v="Male"/>
    <n v="43"/>
    <s v="Clothing"/>
    <n v="4"/>
    <n v="50"/>
    <n v="200"/>
    <x v="159"/>
  </r>
  <r>
    <n v="766"/>
    <x v="192"/>
    <s v="CUST766"/>
    <s v="Male"/>
    <n v="38"/>
    <s v="Electronics"/>
    <n v="3"/>
    <n v="300"/>
    <n v="900"/>
    <x v="192"/>
  </r>
  <r>
    <n v="767"/>
    <x v="208"/>
    <s v="CUST767"/>
    <s v="Male"/>
    <n v="39"/>
    <s v="Beauty"/>
    <n v="3"/>
    <n v="25"/>
    <n v="75"/>
    <x v="208"/>
  </r>
  <r>
    <n v="768"/>
    <x v="20"/>
    <s v="CUST768"/>
    <s v="Female"/>
    <n v="24"/>
    <s v="Beauty"/>
    <n v="3"/>
    <n v="25"/>
    <n v="75"/>
    <x v="20"/>
  </r>
  <r>
    <n v="769"/>
    <x v="159"/>
    <s v="CUST769"/>
    <s v="Female"/>
    <n v="31"/>
    <s v="Electronics"/>
    <n v="4"/>
    <n v="30"/>
    <n v="120"/>
    <x v="159"/>
  </r>
  <r>
    <n v="770"/>
    <x v="293"/>
    <s v="CUST770"/>
    <s v="Male"/>
    <n v="32"/>
    <s v="Clothing"/>
    <n v="1"/>
    <n v="50"/>
    <n v="50"/>
    <x v="293"/>
  </r>
  <r>
    <n v="771"/>
    <x v="8"/>
    <s v="CUST771"/>
    <s v="Male"/>
    <n v="24"/>
    <s v="Electronics"/>
    <n v="2"/>
    <n v="25"/>
    <n v="50"/>
    <x v="8"/>
  </r>
  <r>
    <n v="772"/>
    <x v="322"/>
    <s v="CUST772"/>
    <s v="Male"/>
    <n v="26"/>
    <s v="Electronics"/>
    <n v="1"/>
    <n v="30"/>
    <n v="30"/>
    <x v="322"/>
  </r>
  <r>
    <n v="773"/>
    <x v="323"/>
    <s v="CUST773"/>
    <s v="Male"/>
    <n v="25"/>
    <s v="Electronics"/>
    <n v="4"/>
    <n v="500"/>
    <n v="2000"/>
    <x v="323"/>
  </r>
  <r>
    <n v="774"/>
    <x v="22"/>
    <s v="CUST774"/>
    <s v="Female"/>
    <n v="40"/>
    <s v="Clothing"/>
    <n v="2"/>
    <n v="25"/>
    <n v="50"/>
    <x v="22"/>
  </r>
  <r>
    <n v="775"/>
    <x v="195"/>
    <s v="CUST775"/>
    <s v="Female"/>
    <n v="46"/>
    <s v="Electronics"/>
    <n v="4"/>
    <n v="25"/>
    <n v="100"/>
    <x v="195"/>
  </r>
  <r>
    <n v="776"/>
    <x v="315"/>
    <s v="CUST776"/>
    <s v="Male"/>
    <n v="35"/>
    <s v="Clothing"/>
    <n v="3"/>
    <n v="30"/>
    <n v="90"/>
    <x v="315"/>
  </r>
  <r>
    <n v="777"/>
    <x v="156"/>
    <s v="CUST777"/>
    <s v="Male"/>
    <n v="48"/>
    <s v="Electronics"/>
    <n v="3"/>
    <n v="50"/>
    <n v="150"/>
    <x v="156"/>
  </r>
  <r>
    <n v="778"/>
    <x v="51"/>
    <s v="CUST778"/>
    <s v="Female"/>
    <n v="47"/>
    <s v="Beauty"/>
    <n v="4"/>
    <n v="25"/>
    <n v="100"/>
    <x v="51"/>
  </r>
  <r>
    <n v="779"/>
    <x v="179"/>
    <s v="CUST779"/>
    <s v="Female"/>
    <n v="56"/>
    <s v="Electronics"/>
    <n v="2"/>
    <n v="500"/>
    <n v="1000"/>
    <x v="179"/>
  </r>
  <r>
    <n v="780"/>
    <x v="7"/>
    <s v="CUST780"/>
    <s v="Male"/>
    <n v="52"/>
    <s v="Electronics"/>
    <n v="2"/>
    <n v="25"/>
    <n v="50"/>
    <x v="7"/>
  </r>
  <r>
    <n v="781"/>
    <x v="204"/>
    <s v="CUST781"/>
    <s v="Male"/>
    <n v="35"/>
    <s v="Beauty"/>
    <n v="1"/>
    <n v="500"/>
    <n v="500"/>
    <x v="204"/>
  </r>
  <r>
    <n v="782"/>
    <x v="234"/>
    <s v="CUST782"/>
    <s v="Male"/>
    <n v="59"/>
    <s v="Clothing"/>
    <n v="3"/>
    <n v="300"/>
    <n v="900"/>
    <x v="234"/>
  </r>
  <r>
    <n v="783"/>
    <x v="82"/>
    <s v="CUST783"/>
    <s v="Female"/>
    <n v="56"/>
    <s v="Clothing"/>
    <n v="1"/>
    <n v="300"/>
    <n v="300"/>
    <x v="82"/>
  </r>
  <r>
    <n v="784"/>
    <x v="324"/>
    <s v="CUST784"/>
    <s v="Female"/>
    <n v="34"/>
    <s v="Electronics"/>
    <n v="1"/>
    <n v="500"/>
    <n v="500"/>
    <x v="324"/>
  </r>
  <r>
    <n v="785"/>
    <x v="163"/>
    <s v="CUST785"/>
    <s v="Female"/>
    <n v="31"/>
    <s v="Beauty"/>
    <n v="4"/>
    <n v="50"/>
    <n v="200"/>
    <x v="163"/>
  </r>
  <r>
    <n v="786"/>
    <x v="222"/>
    <s v="CUST786"/>
    <s v="Male"/>
    <n v="48"/>
    <s v="Clothing"/>
    <n v="4"/>
    <n v="25"/>
    <n v="100"/>
    <x v="222"/>
  </r>
  <r>
    <n v="787"/>
    <x v="256"/>
    <s v="CUST787"/>
    <s v="Male"/>
    <n v="41"/>
    <s v="Electronics"/>
    <n v="1"/>
    <n v="25"/>
    <n v="25"/>
    <x v="256"/>
  </r>
  <r>
    <n v="788"/>
    <x v="325"/>
    <s v="CUST788"/>
    <s v="Female"/>
    <n v="52"/>
    <s v="Beauty"/>
    <n v="3"/>
    <n v="300"/>
    <n v="900"/>
    <x v="325"/>
  </r>
  <r>
    <n v="789"/>
    <x v="148"/>
    <s v="CUST789"/>
    <s v="Female"/>
    <n v="61"/>
    <s v="Clothing"/>
    <n v="4"/>
    <n v="500"/>
    <n v="2000"/>
    <x v="148"/>
  </r>
  <r>
    <n v="790"/>
    <x v="102"/>
    <s v="CUST790"/>
    <s v="Male"/>
    <n v="62"/>
    <s v="Clothing"/>
    <n v="1"/>
    <n v="25"/>
    <n v="25"/>
    <x v="102"/>
  </r>
  <r>
    <n v="791"/>
    <x v="59"/>
    <s v="CUST791"/>
    <s v="Female"/>
    <n v="51"/>
    <s v="Beauty"/>
    <n v="1"/>
    <n v="25"/>
    <n v="25"/>
    <x v="59"/>
  </r>
  <r>
    <n v="792"/>
    <x v="67"/>
    <s v="CUST792"/>
    <s v="Female"/>
    <n v="20"/>
    <s v="Beauty"/>
    <n v="1"/>
    <n v="50"/>
    <n v="50"/>
    <x v="67"/>
  </r>
  <r>
    <n v="793"/>
    <x v="57"/>
    <s v="CUST793"/>
    <s v="Male"/>
    <n v="54"/>
    <s v="Beauty"/>
    <n v="1"/>
    <n v="30"/>
    <n v="30"/>
    <x v="57"/>
  </r>
  <r>
    <n v="794"/>
    <x v="129"/>
    <s v="CUST794"/>
    <s v="Female"/>
    <n v="60"/>
    <s v="Beauty"/>
    <n v="1"/>
    <n v="300"/>
    <n v="300"/>
    <x v="129"/>
  </r>
  <r>
    <n v="795"/>
    <x v="73"/>
    <s v="CUST795"/>
    <s v="Male"/>
    <n v="57"/>
    <s v="Electronics"/>
    <n v="1"/>
    <n v="300"/>
    <n v="300"/>
    <x v="73"/>
  </r>
  <r>
    <n v="796"/>
    <x v="33"/>
    <s v="CUST796"/>
    <s v="Male"/>
    <n v="43"/>
    <s v="Beauty"/>
    <n v="4"/>
    <n v="30"/>
    <n v="120"/>
    <x v="33"/>
  </r>
  <r>
    <n v="797"/>
    <x v="326"/>
    <s v="CUST797"/>
    <s v="Male"/>
    <n v="40"/>
    <s v="Clothing"/>
    <n v="3"/>
    <n v="25"/>
    <n v="75"/>
    <x v="326"/>
  </r>
  <r>
    <n v="798"/>
    <x v="279"/>
    <s v="CUST798"/>
    <s v="Male"/>
    <n v="61"/>
    <s v="Clothing"/>
    <n v="1"/>
    <n v="50"/>
    <n v="50"/>
    <x v="279"/>
  </r>
  <r>
    <n v="799"/>
    <x v="140"/>
    <s v="CUST799"/>
    <s v="Male"/>
    <n v="56"/>
    <s v="Electronics"/>
    <n v="2"/>
    <n v="50"/>
    <n v="100"/>
    <x v="140"/>
  </r>
  <r>
    <n v="800"/>
    <x v="130"/>
    <s v="CUST800"/>
    <s v="Male"/>
    <n v="32"/>
    <s v="Clothing"/>
    <n v="4"/>
    <n v="300"/>
    <n v="1200"/>
    <x v="130"/>
  </r>
  <r>
    <n v="801"/>
    <x v="327"/>
    <s v="CUST801"/>
    <s v="Male"/>
    <n v="21"/>
    <s v="Clothing"/>
    <n v="4"/>
    <n v="50"/>
    <n v="200"/>
    <x v="327"/>
  </r>
  <r>
    <n v="802"/>
    <x v="53"/>
    <s v="CUST802"/>
    <s v="Female"/>
    <n v="46"/>
    <s v="Beauty"/>
    <n v="1"/>
    <n v="30"/>
    <n v="30"/>
    <x v="53"/>
  </r>
  <r>
    <n v="803"/>
    <x v="64"/>
    <s v="CUST803"/>
    <s v="Male"/>
    <n v="39"/>
    <s v="Clothing"/>
    <n v="4"/>
    <n v="25"/>
    <n v="100"/>
    <x v="64"/>
  </r>
  <r>
    <n v="804"/>
    <x v="44"/>
    <s v="CUST804"/>
    <s v="Male"/>
    <n v="42"/>
    <s v="Electronics"/>
    <n v="1"/>
    <n v="30"/>
    <n v="30"/>
    <x v="44"/>
  </r>
  <r>
    <n v="805"/>
    <x v="167"/>
    <s v="CUST805"/>
    <s v="Female"/>
    <n v="30"/>
    <s v="Beauty"/>
    <n v="3"/>
    <n v="500"/>
    <n v="1500"/>
    <x v="167"/>
  </r>
  <r>
    <n v="806"/>
    <x v="111"/>
    <s v="CUST806"/>
    <s v="Female"/>
    <n v="35"/>
    <s v="Beauty"/>
    <n v="3"/>
    <n v="300"/>
    <n v="900"/>
    <x v="111"/>
  </r>
  <r>
    <n v="807"/>
    <x v="124"/>
    <s v="CUST807"/>
    <s v="Female"/>
    <n v="50"/>
    <s v="Electronics"/>
    <n v="4"/>
    <n v="50"/>
    <n v="200"/>
    <x v="124"/>
  </r>
  <r>
    <n v="808"/>
    <x v="258"/>
    <s v="CUST808"/>
    <s v="Male"/>
    <n v="33"/>
    <s v="Beauty"/>
    <n v="4"/>
    <n v="500"/>
    <n v="2000"/>
    <x v="258"/>
  </r>
  <r>
    <n v="809"/>
    <x v="223"/>
    <s v="CUST809"/>
    <s v="Female"/>
    <n v="62"/>
    <s v="Beauty"/>
    <n v="2"/>
    <n v="50"/>
    <n v="100"/>
    <x v="223"/>
  </r>
  <r>
    <n v="810"/>
    <x v="198"/>
    <s v="CUST810"/>
    <s v="Male"/>
    <n v="59"/>
    <s v="Electronics"/>
    <n v="4"/>
    <n v="25"/>
    <n v="100"/>
    <x v="198"/>
  </r>
  <r>
    <n v="811"/>
    <x v="79"/>
    <s v="CUST811"/>
    <s v="Male"/>
    <n v="61"/>
    <s v="Beauty"/>
    <n v="2"/>
    <n v="25"/>
    <n v="50"/>
    <x v="79"/>
  </r>
  <r>
    <n v="812"/>
    <x v="281"/>
    <s v="CUST812"/>
    <s v="Male"/>
    <n v="19"/>
    <s v="Electronics"/>
    <n v="3"/>
    <n v="25"/>
    <n v="75"/>
    <x v="281"/>
  </r>
  <r>
    <n v="813"/>
    <x v="99"/>
    <s v="CUST813"/>
    <s v="Male"/>
    <n v="52"/>
    <s v="Electronics"/>
    <n v="3"/>
    <n v="50"/>
    <n v="150"/>
    <x v="99"/>
  </r>
  <r>
    <n v="814"/>
    <x v="328"/>
    <s v="CUST814"/>
    <s v="Female"/>
    <n v="59"/>
    <s v="Clothing"/>
    <n v="1"/>
    <n v="500"/>
    <n v="500"/>
    <x v="328"/>
  </r>
  <r>
    <n v="815"/>
    <x v="286"/>
    <s v="CUST815"/>
    <s v="Female"/>
    <n v="51"/>
    <s v="Clothing"/>
    <n v="3"/>
    <n v="25"/>
    <n v="75"/>
    <x v="286"/>
  </r>
  <r>
    <n v="816"/>
    <x v="269"/>
    <s v="CUST816"/>
    <s v="Male"/>
    <n v="47"/>
    <s v="Beauty"/>
    <n v="2"/>
    <n v="500"/>
    <n v="1000"/>
    <x v="269"/>
  </r>
  <r>
    <n v="817"/>
    <x v="315"/>
    <s v="CUST817"/>
    <s v="Male"/>
    <n v="30"/>
    <s v="Beauty"/>
    <n v="4"/>
    <n v="50"/>
    <n v="200"/>
    <x v="315"/>
  </r>
  <r>
    <n v="818"/>
    <x v="88"/>
    <s v="CUST818"/>
    <s v="Male"/>
    <n v="30"/>
    <s v="Electronics"/>
    <n v="1"/>
    <n v="500"/>
    <n v="500"/>
    <x v="88"/>
  </r>
  <r>
    <n v="819"/>
    <x v="139"/>
    <s v="CUST819"/>
    <s v="Female"/>
    <n v="35"/>
    <s v="Beauty"/>
    <n v="2"/>
    <n v="50"/>
    <n v="100"/>
    <x v="139"/>
  </r>
  <r>
    <n v="820"/>
    <x v="4"/>
    <s v="CUST820"/>
    <s v="Male"/>
    <n v="49"/>
    <s v="Electronics"/>
    <n v="4"/>
    <n v="50"/>
    <n v="200"/>
    <x v="4"/>
  </r>
  <r>
    <n v="821"/>
    <x v="10"/>
    <s v="CUST821"/>
    <s v="Male"/>
    <n v="49"/>
    <s v="Electronics"/>
    <n v="1"/>
    <n v="300"/>
    <n v="300"/>
    <x v="10"/>
  </r>
  <r>
    <n v="822"/>
    <x v="29"/>
    <s v="CUST822"/>
    <s v="Female"/>
    <n v="52"/>
    <s v="Beauty"/>
    <n v="3"/>
    <n v="50"/>
    <n v="150"/>
    <x v="29"/>
  </r>
  <r>
    <n v="823"/>
    <x v="304"/>
    <s v="CUST823"/>
    <s v="Female"/>
    <n v="56"/>
    <s v="Electronics"/>
    <n v="2"/>
    <n v="50"/>
    <n v="100"/>
    <x v="304"/>
  </r>
  <r>
    <n v="824"/>
    <x v="179"/>
    <s v="CUST824"/>
    <s v="Male"/>
    <n v="63"/>
    <s v="Clothing"/>
    <n v="4"/>
    <n v="30"/>
    <n v="120"/>
    <x v="179"/>
  </r>
  <r>
    <n v="825"/>
    <x v="300"/>
    <s v="CUST825"/>
    <s v="Female"/>
    <n v="46"/>
    <s v="Beauty"/>
    <n v="1"/>
    <n v="25"/>
    <n v="25"/>
    <x v="300"/>
  </r>
  <r>
    <n v="826"/>
    <x v="218"/>
    <s v="CUST826"/>
    <s v="Female"/>
    <n v="46"/>
    <s v="Clothing"/>
    <n v="1"/>
    <n v="300"/>
    <n v="300"/>
    <x v="218"/>
  </r>
  <r>
    <n v="827"/>
    <x v="289"/>
    <s v="CUST827"/>
    <s v="Male"/>
    <n v="61"/>
    <s v="Beauty"/>
    <n v="3"/>
    <n v="300"/>
    <n v="900"/>
    <x v="289"/>
  </r>
  <r>
    <n v="828"/>
    <x v="174"/>
    <s v="CUST828"/>
    <s v="Female"/>
    <n v="33"/>
    <s v="Electronics"/>
    <n v="4"/>
    <n v="300"/>
    <n v="1200"/>
    <x v="174"/>
  </r>
  <r>
    <n v="829"/>
    <x v="37"/>
    <s v="CUST829"/>
    <s v="Male"/>
    <n v="61"/>
    <s v="Beauty"/>
    <n v="3"/>
    <n v="30"/>
    <n v="90"/>
    <x v="37"/>
  </r>
  <r>
    <n v="830"/>
    <x v="36"/>
    <s v="CUST830"/>
    <s v="Female"/>
    <n v="64"/>
    <s v="Clothing"/>
    <n v="3"/>
    <n v="50"/>
    <n v="150"/>
    <x v="36"/>
  </r>
  <r>
    <n v="831"/>
    <x v="267"/>
    <s v="CUST831"/>
    <s v="Male"/>
    <n v="27"/>
    <s v="Electronics"/>
    <n v="4"/>
    <n v="25"/>
    <n v="100"/>
    <x v="267"/>
  </r>
  <r>
    <n v="832"/>
    <x v="296"/>
    <s v="CUST832"/>
    <s v="Male"/>
    <n v="47"/>
    <s v="Beauty"/>
    <n v="4"/>
    <n v="500"/>
    <n v="2000"/>
    <x v="296"/>
  </r>
  <r>
    <n v="833"/>
    <x v="83"/>
    <s v="CUST833"/>
    <s v="Male"/>
    <n v="42"/>
    <s v="Beauty"/>
    <n v="4"/>
    <n v="50"/>
    <n v="200"/>
    <x v="83"/>
  </r>
  <r>
    <n v="834"/>
    <x v="194"/>
    <s v="CUST834"/>
    <s v="Female"/>
    <n v="56"/>
    <s v="Beauty"/>
    <n v="2"/>
    <n v="30"/>
    <n v="60"/>
    <x v="194"/>
  </r>
  <r>
    <n v="835"/>
    <x v="206"/>
    <s v="CUST835"/>
    <s v="Male"/>
    <n v="37"/>
    <s v="Clothing"/>
    <n v="4"/>
    <n v="50"/>
    <n v="200"/>
    <x v="206"/>
  </r>
  <r>
    <n v="836"/>
    <x v="90"/>
    <s v="CUST836"/>
    <s v="Female"/>
    <n v="22"/>
    <s v="Clothing"/>
    <n v="1"/>
    <n v="50"/>
    <n v="50"/>
    <x v="90"/>
  </r>
  <r>
    <n v="837"/>
    <x v="68"/>
    <s v="CUST837"/>
    <s v="Male"/>
    <n v="18"/>
    <s v="Beauty"/>
    <n v="3"/>
    <n v="30"/>
    <n v="90"/>
    <x v="68"/>
  </r>
  <r>
    <n v="838"/>
    <x v="305"/>
    <s v="CUST838"/>
    <s v="Male"/>
    <n v="47"/>
    <s v="Electronics"/>
    <n v="2"/>
    <n v="300"/>
    <n v="600"/>
    <x v="305"/>
  </r>
  <r>
    <n v="839"/>
    <x v="33"/>
    <s v="CUST839"/>
    <s v="Female"/>
    <n v="20"/>
    <s v="Electronics"/>
    <n v="4"/>
    <n v="300"/>
    <n v="1200"/>
    <x v="33"/>
  </r>
  <r>
    <n v="840"/>
    <x v="329"/>
    <s v="CUST840"/>
    <s v="Male"/>
    <n v="62"/>
    <s v="Clothing"/>
    <n v="2"/>
    <n v="25"/>
    <n v="50"/>
    <x v="329"/>
  </r>
  <r>
    <n v="841"/>
    <x v="113"/>
    <s v="CUST841"/>
    <s v="Male"/>
    <n v="31"/>
    <s v="Electronics"/>
    <n v="4"/>
    <n v="25"/>
    <n v="100"/>
    <x v="113"/>
  </r>
  <r>
    <n v="842"/>
    <x v="24"/>
    <s v="CUST842"/>
    <s v="Female"/>
    <n v="47"/>
    <s v="Clothing"/>
    <n v="2"/>
    <n v="300"/>
    <n v="600"/>
    <x v="24"/>
  </r>
  <r>
    <n v="843"/>
    <x v="247"/>
    <s v="CUST843"/>
    <s v="Male"/>
    <n v="21"/>
    <s v="Beauty"/>
    <n v="3"/>
    <n v="500"/>
    <n v="1500"/>
    <x v="247"/>
  </r>
  <r>
    <n v="844"/>
    <x v="205"/>
    <s v="CUST844"/>
    <s v="Male"/>
    <n v="35"/>
    <s v="Clothing"/>
    <n v="3"/>
    <n v="50"/>
    <n v="150"/>
    <x v="205"/>
  </r>
  <r>
    <n v="845"/>
    <x v="121"/>
    <s v="CUST845"/>
    <s v="Male"/>
    <n v="54"/>
    <s v="Clothing"/>
    <n v="1"/>
    <n v="500"/>
    <n v="500"/>
    <x v="121"/>
  </r>
  <r>
    <n v="846"/>
    <x v="161"/>
    <s v="CUST846"/>
    <s v="Male"/>
    <n v="42"/>
    <s v="Beauty"/>
    <n v="1"/>
    <n v="50"/>
    <n v="50"/>
    <x v="161"/>
  </r>
  <r>
    <n v="847"/>
    <x v="181"/>
    <s v="CUST847"/>
    <s v="Female"/>
    <n v="18"/>
    <s v="Electronics"/>
    <n v="4"/>
    <n v="300"/>
    <n v="1200"/>
    <x v="181"/>
  </r>
  <r>
    <n v="848"/>
    <x v="146"/>
    <s v="CUST848"/>
    <s v="Female"/>
    <n v="63"/>
    <s v="Clothing"/>
    <n v="3"/>
    <n v="25"/>
    <n v="75"/>
    <x v="146"/>
  </r>
  <r>
    <n v="849"/>
    <x v="145"/>
    <s v="CUST849"/>
    <s v="Male"/>
    <n v="32"/>
    <s v="Clothing"/>
    <n v="2"/>
    <n v="25"/>
    <n v="50"/>
    <x v="145"/>
  </r>
  <r>
    <n v="850"/>
    <x v="180"/>
    <s v="CUST850"/>
    <s v="Female"/>
    <n v="26"/>
    <s v="Beauty"/>
    <n v="2"/>
    <n v="500"/>
    <n v="1000"/>
    <x v="180"/>
  </r>
  <r>
    <n v="851"/>
    <x v="140"/>
    <s v="CUST851"/>
    <s v="Male"/>
    <n v="32"/>
    <s v="Electronics"/>
    <n v="2"/>
    <n v="25"/>
    <n v="50"/>
    <x v="140"/>
  </r>
  <r>
    <n v="852"/>
    <x v="205"/>
    <s v="CUST852"/>
    <s v="Female"/>
    <n v="41"/>
    <s v="Clothing"/>
    <n v="1"/>
    <n v="300"/>
    <n v="300"/>
    <x v="205"/>
  </r>
  <r>
    <n v="853"/>
    <x v="145"/>
    <s v="CUST853"/>
    <s v="Male"/>
    <n v="21"/>
    <s v="Beauty"/>
    <n v="2"/>
    <n v="500"/>
    <n v="1000"/>
    <x v="145"/>
  </r>
  <r>
    <n v="854"/>
    <x v="156"/>
    <s v="CUST854"/>
    <s v="Male"/>
    <n v="29"/>
    <s v="Clothing"/>
    <n v="1"/>
    <n v="50"/>
    <n v="50"/>
    <x v="156"/>
  </r>
  <r>
    <n v="855"/>
    <x v="152"/>
    <s v="CUST855"/>
    <s v="Male"/>
    <n v="54"/>
    <s v="Beauty"/>
    <n v="1"/>
    <n v="25"/>
    <n v="25"/>
    <x v="152"/>
  </r>
  <r>
    <n v="856"/>
    <x v="188"/>
    <s v="CUST856"/>
    <s v="Male"/>
    <n v="54"/>
    <s v="Electronics"/>
    <n v="4"/>
    <n v="30"/>
    <n v="120"/>
    <x v="188"/>
  </r>
  <r>
    <n v="857"/>
    <x v="330"/>
    <s v="CUST857"/>
    <s v="Male"/>
    <n v="60"/>
    <s v="Electronics"/>
    <n v="2"/>
    <n v="25"/>
    <n v="50"/>
    <x v="330"/>
  </r>
  <r>
    <n v="858"/>
    <x v="331"/>
    <s v="CUST858"/>
    <s v="Male"/>
    <n v="23"/>
    <s v="Electronics"/>
    <n v="2"/>
    <n v="50"/>
    <n v="100"/>
    <x v="331"/>
  </r>
  <r>
    <n v="859"/>
    <x v="27"/>
    <s v="CUST859"/>
    <s v="Female"/>
    <n v="56"/>
    <s v="Electronics"/>
    <n v="3"/>
    <n v="500"/>
    <n v="1500"/>
    <x v="27"/>
  </r>
  <r>
    <n v="860"/>
    <x v="332"/>
    <s v="CUST860"/>
    <s v="Male"/>
    <n v="63"/>
    <s v="Clothing"/>
    <n v="4"/>
    <n v="50"/>
    <n v="200"/>
    <x v="332"/>
  </r>
  <r>
    <n v="861"/>
    <x v="15"/>
    <s v="CUST861"/>
    <s v="Female"/>
    <n v="41"/>
    <s v="Clothing"/>
    <n v="3"/>
    <n v="30"/>
    <n v="90"/>
    <x v="15"/>
  </r>
  <r>
    <n v="862"/>
    <x v="50"/>
    <s v="CUST862"/>
    <s v="Male"/>
    <n v="28"/>
    <s v="Electronics"/>
    <n v="4"/>
    <n v="300"/>
    <n v="1200"/>
    <x v="50"/>
  </r>
  <r>
    <n v="863"/>
    <x v="262"/>
    <s v="CUST863"/>
    <s v="Female"/>
    <n v="30"/>
    <s v="Electronics"/>
    <n v="2"/>
    <n v="25"/>
    <n v="50"/>
    <x v="262"/>
  </r>
  <r>
    <n v="864"/>
    <x v="282"/>
    <s v="CUST864"/>
    <s v="Female"/>
    <n v="51"/>
    <s v="Electronics"/>
    <n v="1"/>
    <n v="500"/>
    <n v="500"/>
    <x v="282"/>
  </r>
  <r>
    <n v="865"/>
    <x v="333"/>
    <s v="CUST865"/>
    <s v="Female"/>
    <n v="42"/>
    <s v="Clothing"/>
    <n v="1"/>
    <n v="300"/>
    <n v="300"/>
    <x v="333"/>
  </r>
  <r>
    <n v="866"/>
    <x v="179"/>
    <s v="CUST866"/>
    <s v="Male"/>
    <n v="24"/>
    <s v="Electronics"/>
    <n v="1"/>
    <n v="50"/>
    <n v="50"/>
    <x v="179"/>
  </r>
  <r>
    <n v="867"/>
    <x v="264"/>
    <s v="CUST867"/>
    <s v="Male"/>
    <n v="21"/>
    <s v="Electronics"/>
    <n v="1"/>
    <n v="500"/>
    <n v="500"/>
    <x v="264"/>
  </r>
  <r>
    <n v="868"/>
    <x v="237"/>
    <s v="CUST868"/>
    <s v="Female"/>
    <n v="25"/>
    <s v="Electronics"/>
    <n v="1"/>
    <n v="300"/>
    <n v="300"/>
    <x v="237"/>
  </r>
  <r>
    <n v="869"/>
    <x v="268"/>
    <s v="CUST869"/>
    <s v="Male"/>
    <n v="37"/>
    <s v="Beauty"/>
    <n v="3"/>
    <n v="500"/>
    <n v="1500"/>
    <x v="268"/>
  </r>
  <r>
    <n v="870"/>
    <x v="321"/>
    <s v="CUST870"/>
    <s v="Female"/>
    <n v="46"/>
    <s v="Electronics"/>
    <n v="4"/>
    <n v="30"/>
    <n v="120"/>
    <x v="321"/>
  </r>
  <r>
    <n v="871"/>
    <x v="178"/>
    <s v="CUST871"/>
    <s v="Male"/>
    <n v="62"/>
    <s v="Beauty"/>
    <n v="2"/>
    <n v="30"/>
    <n v="60"/>
    <x v="178"/>
  </r>
  <r>
    <n v="872"/>
    <x v="120"/>
    <s v="CUST872"/>
    <s v="Female"/>
    <n v="63"/>
    <s v="Beauty"/>
    <n v="3"/>
    <n v="25"/>
    <n v="75"/>
    <x v="120"/>
  </r>
  <r>
    <n v="873"/>
    <x v="136"/>
    <s v="CUST873"/>
    <s v="Female"/>
    <n v="27"/>
    <s v="Electronics"/>
    <n v="4"/>
    <n v="25"/>
    <n v="100"/>
    <x v="136"/>
  </r>
  <r>
    <n v="874"/>
    <x v="40"/>
    <s v="CUST874"/>
    <s v="Male"/>
    <n v="60"/>
    <s v="Beauty"/>
    <n v="1"/>
    <n v="30"/>
    <n v="30"/>
    <x v="40"/>
  </r>
  <r>
    <n v="875"/>
    <x v="298"/>
    <s v="CUST875"/>
    <s v="Female"/>
    <n v="51"/>
    <s v="Electronics"/>
    <n v="4"/>
    <n v="500"/>
    <n v="2000"/>
    <x v="298"/>
  </r>
  <r>
    <n v="876"/>
    <x v="153"/>
    <s v="CUST876"/>
    <s v="Male"/>
    <n v="43"/>
    <s v="Clothing"/>
    <n v="4"/>
    <n v="30"/>
    <n v="120"/>
    <x v="153"/>
  </r>
  <r>
    <n v="877"/>
    <x v="171"/>
    <s v="CUST877"/>
    <s v="Female"/>
    <n v="58"/>
    <s v="Clothing"/>
    <n v="1"/>
    <n v="25"/>
    <n v="25"/>
    <x v="171"/>
  </r>
  <r>
    <n v="878"/>
    <x v="313"/>
    <s v="CUST878"/>
    <s v="Female"/>
    <n v="20"/>
    <s v="Clothing"/>
    <n v="1"/>
    <n v="30"/>
    <n v="30"/>
    <x v="313"/>
  </r>
  <r>
    <n v="879"/>
    <x v="24"/>
    <s v="CUST879"/>
    <s v="Male"/>
    <n v="23"/>
    <s v="Clothing"/>
    <n v="1"/>
    <n v="30"/>
    <n v="30"/>
    <x v="24"/>
  </r>
  <r>
    <n v="880"/>
    <x v="63"/>
    <s v="CUST880"/>
    <s v="Male"/>
    <n v="22"/>
    <s v="Beauty"/>
    <n v="2"/>
    <n v="500"/>
    <n v="1000"/>
    <x v="63"/>
  </r>
  <r>
    <n v="881"/>
    <x v="79"/>
    <s v="CUST881"/>
    <s v="Male"/>
    <n v="22"/>
    <s v="Electronics"/>
    <n v="1"/>
    <n v="300"/>
    <n v="300"/>
    <x v="79"/>
  </r>
  <r>
    <n v="882"/>
    <x v="264"/>
    <s v="CUST882"/>
    <s v="Female"/>
    <n v="64"/>
    <s v="Electronics"/>
    <n v="2"/>
    <n v="25"/>
    <n v="50"/>
    <x v="264"/>
  </r>
  <r>
    <n v="883"/>
    <x v="119"/>
    <s v="CUST883"/>
    <s v="Male"/>
    <n v="40"/>
    <s v="Electronics"/>
    <n v="1"/>
    <n v="500"/>
    <n v="500"/>
    <x v="119"/>
  </r>
  <r>
    <n v="884"/>
    <x v="310"/>
    <s v="CUST884"/>
    <s v="Female"/>
    <n v="26"/>
    <s v="Clothing"/>
    <n v="2"/>
    <n v="30"/>
    <n v="60"/>
    <x v="310"/>
  </r>
  <r>
    <n v="885"/>
    <x v="163"/>
    <s v="CUST885"/>
    <s v="Female"/>
    <n v="52"/>
    <s v="Clothing"/>
    <n v="4"/>
    <n v="30"/>
    <n v="120"/>
    <x v="163"/>
  </r>
  <r>
    <n v="886"/>
    <x v="55"/>
    <s v="CUST886"/>
    <s v="Male"/>
    <n v="37"/>
    <s v="Electronics"/>
    <n v="3"/>
    <n v="300"/>
    <n v="900"/>
    <x v="55"/>
  </r>
  <r>
    <n v="887"/>
    <x v="86"/>
    <s v="CUST887"/>
    <s v="Male"/>
    <n v="59"/>
    <s v="Clothing"/>
    <n v="4"/>
    <n v="25"/>
    <n v="100"/>
    <x v="86"/>
  </r>
  <r>
    <n v="888"/>
    <x v="163"/>
    <s v="CUST888"/>
    <s v="Female"/>
    <n v="52"/>
    <s v="Electronics"/>
    <n v="4"/>
    <n v="25"/>
    <n v="100"/>
    <x v="163"/>
  </r>
  <r>
    <n v="889"/>
    <x v="45"/>
    <s v="CUST889"/>
    <s v="Female"/>
    <n v="35"/>
    <s v="Electronics"/>
    <n v="1"/>
    <n v="50"/>
    <n v="50"/>
    <x v="45"/>
  </r>
  <r>
    <n v="890"/>
    <x v="156"/>
    <s v="CUST890"/>
    <s v="Male"/>
    <n v="34"/>
    <s v="Electronics"/>
    <n v="2"/>
    <n v="25"/>
    <n v="50"/>
    <x v="156"/>
  </r>
  <r>
    <n v="891"/>
    <x v="334"/>
    <s v="CUST891"/>
    <s v="Male"/>
    <n v="41"/>
    <s v="Electronics"/>
    <n v="3"/>
    <n v="300"/>
    <n v="900"/>
    <x v="334"/>
  </r>
  <r>
    <n v="892"/>
    <x v="55"/>
    <s v="CUST892"/>
    <s v="Male"/>
    <n v="20"/>
    <s v="Electronics"/>
    <n v="1"/>
    <n v="50"/>
    <n v="50"/>
    <x v="55"/>
  </r>
  <r>
    <n v="893"/>
    <x v="35"/>
    <s v="CUST893"/>
    <s v="Male"/>
    <n v="49"/>
    <s v="Electronics"/>
    <n v="1"/>
    <n v="50"/>
    <n v="50"/>
    <x v="35"/>
  </r>
  <r>
    <n v="894"/>
    <x v="328"/>
    <s v="CUST894"/>
    <s v="Male"/>
    <n v="52"/>
    <s v="Electronics"/>
    <n v="1"/>
    <n v="30"/>
    <n v="30"/>
    <x v="328"/>
  </r>
  <r>
    <n v="895"/>
    <x v="247"/>
    <s v="CUST895"/>
    <s v="Female"/>
    <n v="55"/>
    <s v="Clothing"/>
    <n v="4"/>
    <n v="30"/>
    <n v="120"/>
    <x v="247"/>
  </r>
  <r>
    <n v="896"/>
    <x v="28"/>
    <s v="CUST896"/>
    <s v="Female"/>
    <n v="30"/>
    <s v="Electronics"/>
    <n v="2"/>
    <n v="25"/>
    <n v="50"/>
    <x v="28"/>
  </r>
  <r>
    <n v="897"/>
    <x v="335"/>
    <s v="CUST897"/>
    <s v="Female"/>
    <n v="64"/>
    <s v="Electronics"/>
    <n v="2"/>
    <n v="50"/>
    <n v="100"/>
    <x v="335"/>
  </r>
  <r>
    <n v="898"/>
    <x v="113"/>
    <s v="CUST898"/>
    <s v="Female"/>
    <n v="42"/>
    <s v="Clothing"/>
    <n v="3"/>
    <n v="30"/>
    <n v="90"/>
    <x v="113"/>
  </r>
  <r>
    <n v="899"/>
    <x v="242"/>
    <s v="CUST899"/>
    <s v="Male"/>
    <n v="26"/>
    <s v="Clothing"/>
    <n v="2"/>
    <n v="300"/>
    <n v="600"/>
    <x v="242"/>
  </r>
  <r>
    <n v="900"/>
    <x v="62"/>
    <s v="CUST900"/>
    <s v="Male"/>
    <n v="21"/>
    <s v="Clothing"/>
    <n v="2"/>
    <n v="30"/>
    <n v="60"/>
    <x v="62"/>
  </r>
  <r>
    <n v="901"/>
    <x v="294"/>
    <s v="CUST901"/>
    <s v="Male"/>
    <n v="31"/>
    <s v="Electronics"/>
    <n v="1"/>
    <n v="30"/>
    <n v="30"/>
    <x v="294"/>
  </r>
  <r>
    <n v="902"/>
    <x v="207"/>
    <s v="CUST902"/>
    <s v="Female"/>
    <n v="54"/>
    <s v="Beauty"/>
    <n v="1"/>
    <n v="50"/>
    <n v="50"/>
    <x v="207"/>
  </r>
  <r>
    <n v="903"/>
    <x v="60"/>
    <s v="CUST903"/>
    <s v="Female"/>
    <n v="51"/>
    <s v="Beauty"/>
    <n v="4"/>
    <n v="50"/>
    <n v="200"/>
    <x v="60"/>
  </r>
  <r>
    <n v="904"/>
    <x v="336"/>
    <s v="CUST904"/>
    <s v="Male"/>
    <n v="28"/>
    <s v="Clothing"/>
    <n v="1"/>
    <n v="500"/>
    <n v="500"/>
    <x v="336"/>
  </r>
  <r>
    <n v="905"/>
    <x v="128"/>
    <s v="CUST905"/>
    <s v="Male"/>
    <n v="58"/>
    <s v="Beauty"/>
    <n v="1"/>
    <n v="300"/>
    <n v="300"/>
    <x v="128"/>
  </r>
  <r>
    <n v="906"/>
    <x v="234"/>
    <s v="CUST906"/>
    <s v="Female"/>
    <n v="20"/>
    <s v="Clothing"/>
    <n v="1"/>
    <n v="50"/>
    <n v="50"/>
    <x v="234"/>
  </r>
  <r>
    <n v="907"/>
    <x v="199"/>
    <s v="CUST907"/>
    <s v="Female"/>
    <n v="45"/>
    <s v="Electronics"/>
    <n v="1"/>
    <n v="25"/>
    <n v="25"/>
    <x v="199"/>
  </r>
  <r>
    <n v="908"/>
    <x v="167"/>
    <s v="CUST908"/>
    <s v="Male"/>
    <n v="46"/>
    <s v="Beauty"/>
    <n v="4"/>
    <n v="300"/>
    <n v="1200"/>
    <x v="167"/>
  </r>
  <r>
    <n v="909"/>
    <x v="77"/>
    <s v="CUST909"/>
    <s v="Male"/>
    <n v="26"/>
    <s v="Electronics"/>
    <n v="1"/>
    <n v="300"/>
    <n v="300"/>
    <x v="77"/>
  </r>
  <r>
    <n v="910"/>
    <x v="149"/>
    <s v="CUST910"/>
    <s v="Female"/>
    <n v="20"/>
    <s v="Beauty"/>
    <n v="3"/>
    <n v="50"/>
    <n v="150"/>
    <x v="149"/>
  </r>
  <r>
    <n v="911"/>
    <x v="3"/>
    <s v="CUST911"/>
    <s v="Male"/>
    <n v="42"/>
    <s v="Electronics"/>
    <n v="3"/>
    <n v="300"/>
    <n v="900"/>
    <x v="3"/>
  </r>
  <r>
    <n v="912"/>
    <x v="58"/>
    <s v="CUST912"/>
    <s v="Male"/>
    <n v="51"/>
    <s v="Beauty"/>
    <n v="3"/>
    <n v="50"/>
    <n v="150"/>
    <x v="58"/>
  </r>
  <r>
    <n v="913"/>
    <x v="185"/>
    <s v="CUST913"/>
    <s v="Male"/>
    <n v="29"/>
    <s v="Electronics"/>
    <n v="3"/>
    <n v="30"/>
    <n v="90"/>
    <x v="185"/>
  </r>
  <r>
    <n v="914"/>
    <x v="120"/>
    <s v="CUST914"/>
    <s v="Female"/>
    <n v="59"/>
    <s v="Electronics"/>
    <n v="1"/>
    <n v="500"/>
    <n v="500"/>
    <x v="120"/>
  </r>
  <r>
    <n v="915"/>
    <x v="337"/>
    <s v="CUST915"/>
    <s v="Female"/>
    <n v="26"/>
    <s v="Beauty"/>
    <n v="3"/>
    <n v="30"/>
    <n v="90"/>
    <x v="337"/>
  </r>
  <r>
    <n v="916"/>
    <x v="32"/>
    <s v="CUST916"/>
    <s v="Female"/>
    <n v="32"/>
    <s v="Electronics"/>
    <n v="1"/>
    <n v="50"/>
    <n v="50"/>
    <x v="32"/>
  </r>
  <r>
    <n v="917"/>
    <x v="149"/>
    <s v="CUST917"/>
    <s v="Female"/>
    <n v="57"/>
    <s v="Electronics"/>
    <n v="4"/>
    <n v="50"/>
    <n v="200"/>
    <x v="149"/>
  </r>
  <r>
    <n v="918"/>
    <x v="250"/>
    <s v="CUST918"/>
    <s v="Female"/>
    <n v="42"/>
    <s v="Electronics"/>
    <n v="3"/>
    <n v="30"/>
    <n v="90"/>
    <x v="250"/>
  </r>
  <r>
    <n v="919"/>
    <x v="331"/>
    <s v="CUST919"/>
    <s v="Female"/>
    <n v="22"/>
    <s v="Beauty"/>
    <n v="2"/>
    <n v="25"/>
    <n v="50"/>
    <x v="331"/>
  </r>
  <r>
    <n v="920"/>
    <x v="7"/>
    <s v="CUST920"/>
    <s v="Female"/>
    <n v="28"/>
    <s v="Beauty"/>
    <n v="3"/>
    <n v="25"/>
    <n v="75"/>
    <x v="7"/>
  </r>
  <r>
    <n v="921"/>
    <x v="326"/>
    <s v="CUST921"/>
    <s v="Male"/>
    <n v="51"/>
    <s v="Electronics"/>
    <n v="3"/>
    <n v="25"/>
    <n v="75"/>
    <x v="326"/>
  </r>
  <r>
    <n v="922"/>
    <x v="338"/>
    <s v="CUST922"/>
    <s v="Male"/>
    <n v="41"/>
    <s v="Electronics"/>
    <n v="1"/>
    <n v="50"/>
    <n v="50"/>
    <x v="338"/>
  </r>
  <r>
    <n v="923"/>
    <x v="232"/>
    <s v="CUST923"/>
    <s v="Male"/>
    <n v="32"/>
    <s v="Beauty"/>
    <n v="3"/>
    <n v="300"/>
    <n v="900"/>
    <x v="232"/>
  </r>
  <r>
    <n v="924"/>
    <x v="261"/>
    <s v="CUST924"/>
    <s v="Male"/>
    <n v="55"/>
    <s v="Beauty"/>
    <n v="2"/>
    <n v="50"/>
    <n v="100"/>
    <x v="261"/>
  </r>
  <r>
    <n v="925"/>
    <x v="339"/>
    <s v="CUST925"/>
    <s v="Male"/>
    <n v="25"/>
    <s v="Electronics"/>
    <n v="1"/>
    <n v="300"/>
    <n v="300"/>
    <x v="339"/>
  </r>
  <r>
    <n v="926"/>
    <x v="306"/>
    <s v="CUST926"/>
    <s v="Male"/>
    <n v="22"/>
    <s v="Electronics"/>
    <n v="1"/>
    <n v="30"/>
    <n v="30"/>
    <x v="306"/>
  </r>
  <r>
    <n v="927"/>
    <x v="33"/>
    <s v="CUST927"/>
    <s v="Male"/>
    <n v="43"/>
    <s v="Electronics"/>
    <n v="4"/>
    <n v="500"/>
    <n v="2000"/>
    <x v="33"/>
  </r>
  <r>
    <n v="928"/>
    <x v="334"/>
    <s v="CUST928"/>
    <s v="Female"/>
    <n v="35"/>
    <s v="Clothing"/>
    <n v="4"/>
    <n v="300"/>
    <n v="1200"/>
    <x v="334"/>
  </r>
  <r>
    <n v="929"/>
    <x v="246"/>
    <s v="CUST929"/>
    <s v="Female"/>
    <n v="23"/>
    <s v="Beauty"/>
    <n v="3"/>
    <n v="25"/>
    <n v="75"/>
    <x v="246"/>
  </r>
  <r>
    <n v="930"/>
    <x v="318"/>
    <s v="CUST930"/>
    <s v="Male"/>
    <n v="54"/>
    <s v="Clothing"/>
    <n v="4"/>
    <n v="50"/>
    <n v="200"/>
    <x v="318"/>
  </r>
  <r>
    <n v="931"/>
    <x v="211"/>
    <s v="CUST931"/>
    <s v="Male"/>
    <n v="30"/>
    <s v="Beauty"/>
    <n v="4"/>
    <n v="30"/>
    <n v="120"/>
    <x v="211"/>
  </r>
  <r>
    <n v="932"/>
    <x v="122"/>
    <s v="CUST932"/>
    <s v="Female"/>
    <n v="45"/>
    <s v="Beauty"/>
    <n v="4"/>
    <n v="25"/>
    <n v="100"/>
    <x v="122"/>
  </r>
  <r>
    <n v="933"/>
    <x v="89"/>
    <s v="CUST933"/>
    <s v="Male"/>
    <n v="22"/>
    <s v="Beauty"/>
    <n v="1"/>
    <n v="30"/>
    <n v="30"/>
    <x v="89"/>
  </r>
  <r>
    <n v="934"/>
    <x v="87"/>
    <s v="CUST934"/>
    <s v="Male"/>
    <n v="30"/>
    <s v="Beauty"/>
    <n v="1"/>
    <n v="500"/>
    <n v="500"/>
    <x v="87"/>
  </r>
  <r>
    <n v="935"/>
    <x v="331"/>
    <s v="CUST935"/>
    <s v="Female"/>
    <n v="34"/>
    <s v="Beauty"/>
    <n v="1"/>
    <n v="50"/>
    <n v="50"/>
    <x v="331"/>
  </r>
  <r>
    <n v="936"/>
    <x v="227"/>
    <s v="CUST936"/>
    <s v="Male"/>
    <n v="57"/>
    <s v="Beauty"/>
    <n v="4"/>
    <n v="50"/>
    <n v="200"/>
    <x v="227"/>
  </r>
  <r>
    <n v="937"/>
    <x v="54"/>
    <s v="CUST937"/>
    <s v="Female"/>
    <n v="62"/>
    <s v="Beauty"/>
    <n v="1"/>
    <n v="500"/>
    <n v="500"/>
    <x v="54"/>
  </r>
  <r>
    <n v="938"/>
    <x v="292"/>
    <s v="CUST938"/>
    <s v="Male"/>
    <n v="49"/>
    <s v="Clothing"/>
    <n v="4"/>
    <n v="50"/>
    <n v="200"/>
    <x v="292"/>
  </r>
  <r>
    <n v="939"/>
    <x v="244"/>
    <s v="CUST939"/>
    <s v="Female"/>
    <n v="46"/>
    <s v="Electronics"/>
    <n v="1"/>
    <n v="300"/>
    <n v="300"/>
    <x v="244"/>
  </r>
  <r>
    <n v="940"/>
    <x v="185"/>
    <s v="CUST940"/>
    <s v="Female"/>
    <n v="20"/>
    <s v="Electronics"/>
    <n v="1"/>
    <n v="30"/>
    <n v="30"/>
    <x v="185"/>
  </r>
  <r>
    <n v="941"/>
    <x v="309"/>
    <s v="CUST941"/>
    <s v="Female"/>
    <n v="57"/>
    <s v="Clothing"/>
    <n v="2"/>
    <n v="25"/>
    <n v="50"/>
    <x v="309"/>
  </r>
  <r>
    <n v="942"/>
    <x v="253"/>
    <s v="CUST942"/>
    <s v="Male"/>
    <n v="51"/>
    <s v="Clothing"/>
    <n v="3"/>
    <n v="500"/>
    <n v="1500"/>
    <x v="253"/>
  </r>
  <r>
    <n v="943"/>
    <x v="230"/>
    <s v="CUST943"/>
    <s v="Female"/>
    <n v="57"/>
    <s v="Clothing"/>
    <n v="4"/>
    <n v="300"/>
    <n v="1200"/>
    <x v="230"/>
  </r>
  <r>
    <n v="944"/>
    <x v="284"/>
    <s v="CUST944"/>
    <s v="Male"/>
    <n v="44"/>
    <s v="Clothing"/>
    <n v="2"/>
    <n v="25"/>
    <n v="50"/>
    <x v="284"/>
  </r>
  <r>
    <n v="945"/>
    <x v="146"/>
    <s v="CUST945"/>
    <s v="Male"/>
    <n v="30"/>
    <s v="Beauty"/>
    <n v="1"/>
    <n v="25"/>
    <n v="25"/>
    <x v="146"/>
  </r>
  <r>
    <n v="946"/>
    <x v="193"/>
    <s v="CUST946"/>
    <s v="Male"/>
    <n v="62"/>
    <s v="Electronics"/>
    <n v="4"/>
    <n v="500"/>
    <n v="2000"/>
    <x v="193"/>
  </r>
  <r>
    <n v="947"/>
    <x v="340"/>
    <s v="CUST947"/>
    <s v="Male"/>
    <n v="50"/>
    <s v="Beauty"/>
    <n v="1"/>
    <n v="300"/>
    <n v="300"/>
    <x v="340"/>
  </r>
  <r>
    <n v="948"/>
    <x v="81"/>
    <s v="CUST948"/>
    <s v="Female"/>
    <n v="23"/>
    <s v="Electronics"/>
    <n v="3"/>
    <n v="25"/>
    <n v="75"/>
    <x v="81"/>
  </r>
  <r>
    <n v="949"/>
    <x v="341"/>
    <s v="CUST949"/>
    <s v="Female"/>
    <n v="41"/>
    <s v="Electronics"/>
    <n v="2"/>
    <n v="25"/>
    <n v="50"/>
    <x v="341"/>
  </r>
  <r>
    <n v="950"/>
    <x v="155"/>
    <s v="CUST950"/>
    <s v="Male"/>
    <n v="36"/>
    <s v="Clothing"/>
    <n v="3"/>
    <n v="300"/>
    <n v="900"/>
    <x v="155"/>
  </r>
  <r>
    <n v="951"/>
    <x v="113"/>
    <s v="CUST951"/>
    <s v="Male"/>
    <n v="33"/>
    <s v="Beauty"/>
    <n v="2"/>
    <n v="50"/>
    <n v="100"/>
    <x v="113"/>
  </r>
  <r>
    <n v="952"/>
    <x v="52"/>
    <s v="CUST952"/>
    <s v="Female"/>
    <n v="57"/>
    <s v="Clothing"/>
    <n v="1"/>
    <n v="25"/>
    <n v="25"/>
    <x v="52"/>
  </r>
  <r>
    <n v="953"/>
    <x v="164"/>
    <s v="CUST953"/>
    <s v="Male"/>
    <n v="45"/>
    <s v="Beauty"/>
    <n v="3"/>
    <n v="30"/>
    <n v="90"/>
    <x v="164"/>
  </r>
  <r>
    <n v="954"/>
    <x v="223"/>
    <s v="CUST954"/>
    <s v="Female"/>
    <n v="50"/>
    <s v="Electronics"/>
    <n v="3"/>
    <n v="300"/>
    <n v="900"/>
    <x v="223"/>
  </r>
  <r>
    <n v="955"/>
    <x v="37"/>
    <s v="CUST955"/>
    <s v="Male"/>
    <n v="58"/>
    <s v="Clothing"/>
    <n v="1"/>
    <n v="25"/>
    <n v="25"/>
    <x v="37"/>
  </r>
  <r>
    <n v="956"/>
    <x v="304"/>
    <s v="CUST956"/>
    <s v="Male"/>
    <n v="30"/>
    <s v="Clothing"/>
    <n v="3"/>
    <n v="500"/>
    <n v="1500"/>
    <x v="304"/>
  </r>
  <r>
    <n v="957"/>
    <x v="196"/>
    <s v="CUST957"/>
    <s v="Female"/>
    <n v="60"/>
    <s v="Electronics"/>
    <n v="4"/>
    <n v="30"/>
    <n v="120"/>
    <x v="196"/>
  </r>
  <r>
    <n v="958"/>
    <x v="132"/>
    <s v="CUST958"/>
    <s v="Male"/>
    <n v="62"/>
    <s v="Electronics"/>
    <n v="2"/>
    <n v="25"/>
    <n v="50"/>
    <x v="132"/>
  </r>
  <r>
    <n v="959"/>
    <x v="28"/>
    <s v="CUST959"/>
    <s v="Female"/>
    <n v="42"/>
    <s v="Electronics"/>
    <n v="2"/>
    <n v="30"/>
    <n v="60"/>
    <x v="28"/>
  </r>
  <r>
    <n v="960"/>
    <x v="102"/>
    <s v="CUST960"/>
    <s v="Male"/>
    <n v="59"/>
    <s v="Clothing"/>
    <n v="2"/>
    <n v="30"/>
    <n v="60"/>
    <x v="102"/>
  </r>
  <r>
    <n v="961"/>
    <x v="264"/>
    <s v="CUST961"/>
    <s v="Male"/>
    <n v="53"/>
    <s v="Beauty"/>
    <n v="4"/>
    <n v="50"/>
    <n v="200"/>
    <x v="264"/>
  </r>
  <r>
    <n v="962"/>
    <x v="218"/>
    <s v="CUST962"/>
    <s v="Male"/>
    <n v="44"/>
    <s v="Clothing"/>
    <n v="2"/>
    <n v="30"/>
    <n v="60"/>
    <x v="218"/>
  </r>
  <r>
    <n v="963"/>
    <x v="220"/>
    <s v="CUST963"/>
    <s v="Female"/>
    <n v="55"/>
    <s v="Beauty"/>
    <n v="1"/>
    <n v="50"/>
    <n v="50"/>
    <x v="220"/>
  </r>
  <r>
    <n v="964"/>
    <x v="169"/>
    <s v="CUST964"/>
    <s v="Male"/>
    <n v="24"/>
    <s v="Clothing"/>
    <n v="3"/>
    <n v="300"/>
    <n v="900"/>
    <x v="169"/>
  </r>
  <r>
    <n v="965"/>
    <x v="289"/>
    <s v="CUST965"/>
    <s v="Male"/>
    <n v="22"/>
    <s v="Clothing"/>
    <n v="4"/>
    <n v="50"/>
    <n v="200"/>
    <x v="289"/>
  </r>
  <r>
    <n v="966"/>
    <x v="189"/>
    <s v="CUST966"/>
    <s v="Male"/>
    <n v="60"/>
    <s v="Electronics"/>
    <n v="2"/>
    <n v="500"/>
    <n v="1000"/>
    <x v="189"/>
  </r>
  <r>
    <n v="967"/>
    <x v="342"/>
    <s v="CUST967"/>
    <s v="Male"/>
    <n v="62"/>
    <s v="Beauty"/>
    <n v="1"/>
    <n v="25"/>
    <n v="25"/>
    <x v="342"/>
  </r>
  <r>
    <n v="968"/>
    <x v="131"/>
    <s v="CUST968"/>
    <s v="Female"/>
    <n v="48"/>
    <s v="Clothing"/>
    <n v="3"/>
    <n v="300"/>
    <n v="900"/>
    <x v="131"/>
  </r>
  <r>
    <n v="969"/>
    <x v="90"/>
    <s v="CUST969"/>
    <s v="Female"/>
    <n v="40"/>
    <s v="Clothing"/>
    <n v="3"/>
    <n v="300"/>
    <n v="900"/>
    <x v="90"/>
  </r>
  <r>
    <n v="970"/>
    <x v="42"/>
    <s v="CUST970"/>
    <s v="Male"/>
    <n v="59"/>
    <s v="Electronics"/>
    <n v="4"/>
    <n v="500"/>
    <n v="2000"/>
    <x v="42"/>
  </r>
  <r>
    <n v="971"/>
    <x v="59"/>
    <s v="CUST971"/>
    <s v="Female"/>
    <n v="27"/>
    <s v="Electronics"/>
    <n v="4"/>
    <n v="50"/>
    <n v="200"/>
    <x v="59"/>
  </r>
  <r>
    <n v="972"/>
    <x v="213"/>
    <s v="CUST972"/>
    <s v="Male"/>
    <n v="49"/>
    <s v="Beauty"/>
    <n v="4"/>
    <n v="25"/>
    <n v="100"/>
    <x v="213"/>
  </r>
  <r>
    <n v="973"/>
    <x v="125"/>
    <s v="CUST973"/>
    <s v="Male"/>
    <n v="60"/>
    <s v="Clothing"/>
    <n v="1"/>
    <n v="50"/>
    <n v="50"/>
    <x v="125"/>
  </r>
  <r>
    <n v="974"/>
    <x v="143"/>
    <s v="CUST974"/>
    <s v="Male"/>
    <n v="47"/>
    <s v="Beauty"/>
    <n v="1"/>
    <n v="30"/>
    <n v="30"/>
    <x v="143"/>
  </r>
  <r>
    <n v="975"/>
    <x v="343"/>
    <s v="CUST975"/>
    <s v="Female"/>
    <n v="56"/>
    <s v="Clothing"/>
    <n v="4"/>
    <n v="50"/>
    <n v="200"/>
    <x v="343"/>
  </r>
  <r>
    <n v="976"/>
    <x v="49"/>
    <s v="CUST976"/>
    <s v="Female"/>
    <n v="48"/>
    <s v="Beauty"/>
    <n v="2"/>
    <n v="300"/>
    <n v="600"/>
    <x v="49"/>
  </r>
  <r>
    <n v="977"/>
    <x v="195"/>
    <s v="CUST977"/>
    <s v="Female"/>
    <n v="35"/>
    <s v="Electronics"/>
    <n v="3"/>
    <n v="25"/>
    <n v="75"/>
    <x v="195"/>
  </r>
  <r>
    <n v="978"/>
    <x v="125"/>
    <s v="CUST978"/>
    <s v="Female"/>
    <n v="53"/>
    <s v="Clothing"/>
    <n v="3"/>
    <n v="50"/>
    <n v="150"/>
    <x v="125"/>
  </r>
  <r>
    <n v="979"/>
    <x v="126"/>
    <s v="CUST979"/>
    <s v="Female"/>
    <n v="19"/>
    <s v="Beauty"/>
    <n v="1"/>
    <n v="25"/>
    <n v="25"/>
    <x v="126"/>
  </r>
  <r>
    <n v="980"/>
    <x v="277"/>
    <s v="CUST980"/>
    <s v="Female"/>
    <n v="31"/>
    <s v="Electronics"/>
    <n v="3"/>
    <n v="25"/>
    <n v="75"/>
    <x v="277"/>
  </r>
  <r>
    <n v="981"/>
    <x v="304"/>
    <s v="CUST981"/>
    <s v="Female"/>
    <n v="30"/>
    <s v="Electronics"/>
    <n v="2"/>
    <n v="30"/>
    <n v="60"/>
    <x v="304"/>
  </r>
  <r>
    <n v="982"/>
    <x v="80"/>
    <s v="CUST982"/>
    <s v="Female"/>
    <n v="46"/>
    <s v="Beauty"/>
    <n v="3"/>
    <n v="30"/>
    <n v="90"/>
    <x v="80"/>
  </r>
  <r>
    <n v="983"/>
    <x v="215"/>
    <s v="CUST983"/>
    <s v="Female"/>
    <n v="29"/>
    <s v="Clothing"/>
    <n v="1"/>
    <n v="300"/>
    <n v="300"/>
    <x v="215"/>
  </r>
  <r>
    <n v="984"/>
    <x v="261"/>
    <s v="CUST984"/>
    <s v="Male"/>
    <n v="56"/>
    <s v="Clothing"/>
    <n v="1"/>
    <n v="500"/>
    <n v="500"/>
    <x v="261"/>
  </r>
  <r>
    <n v="985"/>
    <x v="337"/>
    <s v="CUST985"/>
    <s v="Female"/>
    <n v="19"/>
    <s v="Electronics"/>
    <n v="2"/>
    <n v="25"/>
    <n v="50"/>
    <x v="337"/>
  </r>
  <r>
    <n v="986"/>
    <x v="13"/>
    <s v="CUST986"/>
    <s v="Female"/>
    <n v="49"/>
    <s v="Clothing"/>
    <n v="2"/>
    <n v="500"/>
    <n v="1000"/>
    <x v="13"/>
  </r>
  <r>
    <n v="987"/>
    <x v="310"/>
    <s v="CUST987"/>
    <s v="Female"/>
    <n v="30"/>
    <s v="Clothing"/>
    <n v="3"/>
    <n v="300"/>
    <n v="900"/>
    <x v="310"/>
  </r>
  <r>
    <n v="988"/>
    <x v="344"/>
    <s v="CUST988"/>
    <s v="Female"/>
    <n v="63"/>
    <s v="Clothing"/>
    <n v="3"/>
    <n v="25"/>
    <n v="75"/>
    <x v="344"/>
  </r>
  <r>
    <n v="989"/>
    <x v="251"/>
    <s v="CUST989"/>
    <s v="Female"/>
    <n v="44"/>
    <s v="Electronics"/>
    <n v="1"/>
    <n v="25"/>
    <n v="25"/>
    <x v="251"/>
  </r>
  <r>
    <n v="990"/>
    <x v="242"/>
    <s v="CUST990"/>
    <s v="Female"/>
    <n v="58"/>
    <s v="Beauty"/>
    <n v="2"/>
    <n v="500"/>
    <n v="1000"/>
    <x v="242"/>
  </r>
  <r>
    <n v="991"/>
    <x v="24"/>
    <s v="CUST991"/>
    <s v="Female"/>
    <n v="34"/>
    <s v="Clothing"/>
    <n v="2"/>
    <n v="50"/>
    <n v="100"/>
    <x v="24"/>
  </r>
  <r>
    <n v="992"/>
    <x v="63"/>
    <s v="CUST992"/>
    <s v="Female"/>
    <n v="57"/>
    <s v="Electronics"/>
    <n v="2"/>
    <n v="30"/>
    <n v="60"/>
    <x v="63"/>
  </r>
  <r>
    <n v="993"/>
    <x v="74"/>
    <s v="CUST993"/>
    <s v="Female"/>
    <n v="48"/>
    <s v="Electronics"/>
    <n v="3"/>
    <n v="50"/>
    <n v="150"/>
    <x v="74"/>
  </r>
  <r>
    <n v="994"/>
    <x v="244"/>
    <s v="CUST994"/>
    <s v="Female"/>
    <n v="51"/>
    <s v="Beauty"/>
    <n v="2"/>
    <n v="500"/>
    <n v="1000"/>
    <x v="244"/>
  </r>
  <r>
    <n v="995"/>
    <x v="17"/>
    <s v="CUST995"/>
    <s v="Female"/>
    <n v="41"/>
    <s v="Clothing"/>
    <n v="1"/>
    <n v="30"/>
    <n v="30"/>
    <x v="17"/>
  </r>
  <r>
    <n v="996"/>
    <x v="42"/>
    <s v="CUST996"/>
    <s v="Male"/>
    <n v="62"/>
    <s v="Clothing"/>
    <n v="1"/>
    <n v="50"/>
    <n v="50"/>
    <x v="42"/>
  </r>
  <r>
    <n v="997"/>
    <x v="131"/>
    <s v="CUST997"/>
    <s v="Male"/>
    <n v="52"/>
    <s v="Beauty"/>
    <n v="3"/>
    <n v="30"/>
    <n v="90"/>
    <x v="131"/>
  </r>
  <r>
    <n v="998"/>
    <x v="28"/>
    <s v="CUST998"/>
    <s v="Female"/>
    <n v="23"/>
    <s v="Beauty"/>
    <n v="4"/>
    <n v="25"/>
    <n v="100"/>
    <x v="28"/>
  </r>
  <r>
    <n v="999"/>
    <x v="59"/>
    <s v="CUST999"/>
    <s v="Female"/>
    <n v="36"/>
    <s v="Electronics"/>
    <n v="3"/>
    <n v="50"/>
    <n v="150"/>
    <x v="59"/>
  </r>
  <r>
    <n v="1000"/>
    <x v="22"/>
    <s v="CUST1000"/>
    <s v="Male"/>
    <n v="47"/>
    <s v="Electronics"/>
    <n v="4"/>
    <n v="30"/>
    <n v="120"/>
    <x v="22"/>
  </r>
  <r>
    <m/>
    <x v="345"/>
    <m/>
    <m/>
    <m/>
    <m/>
    <m/>
    <m/>
    <m/>
    <x v="34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23-11-24T00:00:00"/>
    <x v="0"/>
    <x v="0"/>
    <n v="34"/>
    <s v="Beauty"/>
    <n v="3"/>
    <n v="50"/>
    <n v="150"/>
    <s v="24/11/2023"/>
    <x v="0"/>
  </r>
  <r>
    <n v="2"/>
    <d v="2023-02-27T00:00:00"/>
    <x v="1"/>
    <x v="1"/>
    <n v="26"/>
    <s v="Clothing"/>
    <n v="2"/>
    <n v="500"/>
    <n v="1000"/>
    <s v="27/02/2023"/>
    <x v="0"/>
  </r>
  <r>
    <n v="3"/>
    <d v="2023-01-13T00:00:00"/>
    <x v="2"/>
    <x v="0"/>
    <n v="50"/>
    <s v="Electronics"/>
    <n v="1"/>
    <n v="30"/>
    <n v="30"/>
    <s v="13/01/2023"/>
    <x v="1"/>
  </r>
  <r>
    <n v="4"/>
    <d v="2023-05-21T00:00:00"/>
    <x v="3"/>
    <x v="0"/>
    <n v="37"/>
    <s v="Clothing"/>
    <n v="1"/>
    <n v="500"/>
    <n v="500"/>
    <s v="21/05/2023"/>
    <x v="2"/>
  </r>
  <r>
    <n v="5"/>
    <d v="2023-05-06T00:00:00"/>
    <x v="4"/>
    <x v="0"/>
    <n v="30"/>
    <s v="Beauty"/>
    <n v="2"/>
    <n v="50"/>
    <n v="100"/>
    <s v="06/05/2023"/>
    <x v="0"/>
  </r>
  <r>
    <n v="6"/>
    <d v="2023-04-25T00:00:00"/>
    <x v="5"/>
    <x v="1"/>
    <n v="45"/>
    <s v="Beauty"/>
    <n v="1"/>
    <n v="30"/>
    <n v="30"/>
    <s v="25/04/2023"/>
    <x v="2"/>
  </r>
  <r>
    <n v="7"/>
    <d v="2023-03-13T00:00:00"/>
    <x v="6"/>
    <x v="0"/>
    <n v="46"/>
    <s v="Clothing"/>
    <n v="2"/>
    <n v="25"/>
    <n v="50"/>
    <s v="13/03/2023"/>
    <x v="1"/>
  </r>
  <r>
    <n v="8"/>
    <d v="2023-02-22T00:00:00"/>
    <x v="7"/>
    <x v="0"/>
    <n v="30"/>
    <s v="Electronics"/>
    <n v="4"/>
    <n v="25"/>
    <n v="100"/>
    <s v="22/02/2023"/>
    <x v="0"/>
  </r>
  <r>
    <n v="9"/>
    <d v="2023-12-13T00:00:00"/>
    <x v="8"/>
    <x v="0"/>
    <n v="63"/>
    <s v="Electronics"/>
    <n v="2"/>
    <n v="300"/>
    <n v="600"/>
    <s v="13/12/2023"/>
    <x v="3"/>
  </r>
  <r>
    <n v="10"/>
    <d v="2023-10-07T00:00:00"/>
    <x v="9"/>
    <x v="1"/>
    <n v="52"/>
    <s v="Clothing"/>
    <n v="4"/>
    <n v="50"/>
    <n v="200"/>
    <s v="07/10/2023"/>
    <x v="1"/>
  </r>
  <r>
    <n v="11"/>
    <d v="2023-02-14T00:00:00"/>
    <x v="10"/>
    <x v="0"/>
    <n v="23"/>
    <s v="Clothing"/>
    <n v="2"/>
    <n v="50"/>
    <n v="100"/>
    <s v="14/02/2023"/>
    <x v="4"/>
  </r>
  <r>
    <n v="12"/>
    <d v="2023-10-30T00:00:00"/>
    <x v="11"/>
    <x v="0"/>
    <n v="35"/>
    <s v="Beauty"/>
    <n v="3"/>
    <n v="25"/>
    <n v="75"/>
    <s v="30/10/2023"/>
    <x v="0"/>
  </r>
  <r>
    <n v="13"/>
    <d v="2023-08-05T00:00:00"/>
    <x v="12"/>
    <x v="0"/>
    <n v="22"/>
    <s v="Electronics"/>
    <n v="3"/>
    <n v="500"/>
    <n v="1500"/>
    <s v="05/08/2023"/>
    <x v="4"/>
  </r>
  <r>
    <n v="14"/>
    <d v="2023-01-17T00:00:00"/>
    <x v="13"/>
    <x v="0"/>
    <n v="64"/>
    <s v="Clothing"/>
    <n v="4"/>
    <n v="30"/>
    <n v="120"/>
    <s v="17/01/2023"/>
    <x v="3"/>
  </r>
  <r>
    <n v="15"/>
    <d v="2023-01-16T00:00:00"/>
    <x v="14"/>
    <x v="1"/>
    <n v="42"/>
    <s v="Electronics"/>
    <n v="4"/>
    <n v="500"/>
    <n v="2000"/>
    <s v="16/01/2023"/>
    <x v="2"/>
  </r>
  <r>
    <n v="16"/>
    <d v="2023-02-17T00:00:00"/>
    <x v="15"/>
    <x v="0"/>
    <n v="19"/>
    <s v="Clothing"/>
    <n v="3"/>
    <n v="500"/>
    <n v="1500"/>
    <s v="17/02/2023"/>
    <x v="4"/>
  </r>
  <r>
    <n v="17"/>
    <d v="2023-04-22T00:00:00"/>
    <x v="16"/>
    <x v="1"/>
    <n v="27"/>
    <s v="Clothing"/>
    <n v="4"/>
    <n v="25"/>
    <n v="100"/>
    <s v="22/04/2023"/>
    <x v="0"/>
  </r>
  <r>
    <n v="18"/>
    <d v="2023-04-30T00:00:00"/>
    <x v="17"/>
    <x v="1"/>
    <n v="47"/>
    <s v="Electronics"/>
    <n v="2"/>
    <n v="25"/>
    <n v="50"/>
    <s v="30/04/2023"/>
    <x v="1"/>
  </r>
  <r>
    <n v="19"/>
    <d v="2023-09-16T00:00:00"/>
    <x v="18"/>
    <x v="1"/>
    <n v="62"/>
    <s v="Clothing"/>
    <n v="2"/>
    <n v="25"/>
    <n v="50"/>
    <s v="16/09/2023"/>
    <x v="3"/>
  </r>
  <r>
    <n v="20"/>
    <d v="2023-11-05T00:00:00"/>
    <x v="19"/>
    <x v="0"/>
    <n v="22"/>
    <s v="Clothing"/>
    <n v="3"/>
    <n v="300"/>
    <n v="900"/>
    <s v="05/11/2023"/>
    <x v="4"/>
  </r>
  <r>
    <n v="21"/>
    <d v="2023-01-14T00:00:00"/>
    <x v="20"/>
    <x v="1"/>
    <n v="50"/>
    <s v="Beauty"/>
    <n v="1"/>
    <n v="500"/>
    <n v="500"/>
    <s v="14/01/2023"/>
    <x v="1"/>
  </r>
  <r>
    <n v="22"/>
    <d v="2023-10-15T00:00:00"/>
    <x v="21"/>
    <x v="0"/>
    <n v="18"/>
    <s v="Clothing"/>
    <n v="2"/>
    <n v="50"/>
    <n v="100"/>
    <s v="15/10/2023"/>
    <x v="4"/>
  </r>
  <r>
    <n v="23"/>
    <d v="2023-04-12T00:00:00"/>
    <x v="22"/>
    <x v="1"/>
    <n v="35"/>
    <s v="Clothing"/>
    <n v="4"/>
    <n v="30"/>
    <n v="120"/>
    <s v="12/04/2023"/>
    <x v="0"/>
  </r>
  <r>
    <n v="24"/>
    <d v="2023-11-29T00:00:00"/>
    <x v="23"/>
    <x v="1"/>
    <n v="49"/>
    <s v="Clothing"/>
    <n v="1"/>
    <n v="300"/>
    <n v="300"/>
    <s v="29/11/2023"/>
    <x v="1"/>
  </r>
  <r>
    <n v="25"/>
    <d v="2023-12-26T00:00:00"/>
    <x v="24"/>
    <x v="1"/>
    <n v="64"/>
    <s v="Beauty"/>
    <n v="1"/>
    <n v="50"/>
    <n v="50"/>
    <s v="26/12/2023"/>
    <x v="3"/>
  </r>
  <r>
    <n v="26"/>
    <d v="2023-10-07T00:00:00"/>
    <x v="25"/>
    <x v="1"/>
    <n v="28"/>
    <s v="Electronics"/>
    <n v="2"/>
    <n v="500"/>
    <n v="1000"/>
    <s v="07/10/2023"/>
    <x v="0"/>
  </r>
  <r>
    <n v="27"/>
    <d v="2023-08-03T00:00:00"/>
    <x v="26"/>
    <x v="1"/>
    <n v="38"/>
    <s v="Beauty"/>
    <n v="2"/>
    <n v="25"/>
    <n v="50"/>
    <s v="03/08/2023"/>
    <x v="2"/>
  </r>
  <r>
    <n v="28"/>
    <d v="2023-04-23T00:00:00"/>
    <x v="27"/>
    <x v="1"/>
    <n v="43"/>
    <s v="Beauty"/>
    <n v="1"/>
    <n v="500"/>
    <n v="500"/>
    <s v="23/04/2023"/>
    <x v="2"/>
  </r>
  <r>
    <n v="29"/>
    <d v="2023-08-18T00:00:00"/>
    <x v="28"/>
    <x v="1"/>
    <n v="42"/>
    <s v="Electronics"/>
    <n v="1"/>
    <n v="30"/>
    <n v="30"/>
    <s v="18/08/2023"/>
    <x v="2"/>
  </r>
  <r>
    <n v="30"/>
    <d v="2023-10-29T00:00:00"/>
    <x v="29"/>
    <x v="1"/>
    <n v="39"/>
    <s v="Beauty"/>
    <n v="3"/>
    <n v="300"/>
    <n v="900"/>
    <s v="29/10/2023"/>
    <x v="2"/>
  </r>
  <r>
    <n v="31"/>
    <d v="2023-05-23T00:00:00"/>
    <x v="30"/>
    <x v="0"/>
    <n v="44"/>
    <s v="Electronics"/>
    <n v="4"/>
    <n v="300"/>
    <n v="1200"/>
    <s v="23/05/2023"/>
    <x v="2"/>
  </r>
  <r>
    <n v="32"/>
    <d v="2023-01-04T00:00:00"/>
    <x v="31"/>
    <x v="0"/>
    <n v="30"/>
    <s v="Beauty"/>
    <n v="3"/>
    <n v="30"/>
    <n v="90"/>
    <s v="04/01/2023"/>
    <x v="0"/>
  </r>
  <r>
    <n v="33"/>
    <d v="2023-03-23T00:00:00"/>
    <x v="32"/>
    <x v="1"/>
    <n v="50"/>
    <s v="Electronics"/>
    <n v="2"/>
    <n v="50"/>
    <n v="100"/>
    <s v="23/03/2023"/>
    <x v="1"/>
  </r>
  <r>
    <n v="34"/>
    <d v="2023-12-24T00:00:00"/>
    <x v="33"/>
    <x v="1"/>
    <n v="51"/>
    <s v="Clothing"/>
    <n v="3"/>
    <n v="50"/>
    <n v="150"/>
    <s v="24/12/2023"/>
    <x v="1"/>
  </r>
  <r>
    <n v="35"/>
    <d v="2023-08-05T00:00:00"/>
    <x v="34"/>
    <x v="1"/>
    <n v="58"/>
    <s v="Beauty"/>
    <n v="3"/>
    <n v="300"/>
    <n v="900"/>
    <s v="05/08/2023"/>
    <x v="1"/>
  </r>
  <r>
    <n v="36"/>
    <d v="2023-06-24T00:00:00"/>
    <x v="35"/>
    <x v="0"/>
    <n v="52"/>
    <s v="Beauty"/>
    <n v="3"/>
    <n v="300"/>
    <n v="900"/>
    <s v="24/06/2023"/>
    <x v="1"/>
  </r>
  <r>
    <n v="37"/>
    <d v="2023-05-23T00:00:00"/>
    <x v="36"/>
    <x v="1"/>
    <n v="18"/>
    <s v="Beauty"/>
    <n v="3"/>
    <n v="25"/>
    <n v="75"/>
    <s v="23/05/2023"/>
    <x v="4"/>
  </r>
  <r>
    <n v="38"/>
    <d v="2023-03-21T00:00:00"/>
    <x v="37"/>
    <x v="0"/>
    <n v="38"/>
    <s v="Beauty"/>
    <n v="4"/>
    <n v="50"/>
    <n v="200"/>
    <s v="21/03/2023"/>
    <x v="2"/>
  </r>
  <r>
    <n v="39"/>
    <d v="2023-04-21T00:00:00"/>
    <x v="38"/>
    <x v="0"/>
    <n v="23"/>
    <s v="Clothing"/>
    <n v="4"/>
    <n v="30"/>
    <n v="120"/>
    <s v="21/04/2023"/>
    <x v="4"/>
  </r>
  <r>
    <n v="40"/>
    <d v="2023-06-22T00:00:00"/>
    <x v="39"/>
    <x v="0"/>
    <n v="45"/>
    <s v="Beauty"/>
    <n v="1"/>
    <n v="50"/>
    <n v="50"/>
    <s v="22/06/2023"/>
    <x v="2"/>
  </r>
  <r>
    <n v="41"/>
    <d v="2023-02-22T00:00:00"/>
    <x v="40"/>
    <x v="0"/>
    <n v="34"/>
    <s v="Clothing"/>
    <n v="2"/>
    <n v="25"/>
    <n v="50"/>
    <s v="22/02/2023"/>
    <x v="0"/>
  </r>
  <r>
    <n v="42"/>
    <d v="2023-02-17T00:00:00"/>
    <x v="41"/>
    <x v="0"/>
    <n v="22"/>
    <s v="Clothing"/>
    <n v="3"/>
    <n v="300"/>
    <n v="900"/>
    <s v="17/02/2023"/>
    <x v="4"/>
  </r>
  <r>
    <n v="43"/>
    <d v="2023-07-14T00:00:00"/>
    <x v="42"/>
    <x v="1"/>
    <n v="48"/>
    <s v="Clothing"/>
    <n v="1"/>
    <n v="300"/>
    <n v="300"/>
    <s v="14/07/2023"/>
    <x v="1"/>
  </r>
  <r>
    <n v="44"/>
    <d v="2023-02-19T00:00:00"/>
    <x v="43"/>
    <x v="1"/>
    <n v="22"/>
    <s v="Clothing"/>
    <n v="1"/>
    <n v="25"/>
    <n v="25"/>
    <s v="19/02/2023"/>
    <x v="4"/>
  </r>
  <r>
    <n v="45"/>
    <d v="2023-07-03T00:00:00"/>
    <x v="44"/>
    <x v="1"/>
    <n v="55"/>
    <s v="Electronics"/>
    <n v="1"/>
    <n v="30"/>
    <n v="30"/>
    <s v="03/07/2023"/>
    <x v="1"/>
  </r>
  <r>
    <n v="46"/>
    <d v="2023-06-26T00:00:00"/>
    <x v="45"/>
    <x v="1"/>
    <n v="20"/>
    <s v="Electronics"/>
    <n v="4"/>
    <n v="300"/>
    <n v="1200"/>
    <s v="26/06/2023"/>
    <x v="4"/>
  </r>
  <r>
    <n v="47"/>
    <d v="2023-11-06T00:00:00"/>
    <x v="46"/>
    <x v="1"/>
    <n v="40"/>
    <s v="Beauty"/>
    <n v="3"/>
    <n v="500"/>
    <n v="1500"/>
    <s v="06/11/2023"/>
    <x v="2"/>
  </r>
  <r>
    <n v="48"/>
    <d v="2023-05-16T00:00:00"/>
    <x v="47"/>
    <x v="0"/>
    <n v="54"/>
    <s v="Electronics"/>
    <n v="3"/>
    <n v="300"/>
    <n v="900"/>
    <s v="16/05/2023"/>
    <x v="1"/>
  </r>
  <r>
    <n v="49"/>
    <d v="2023-01-23T00:00:00"/>
    <x v="48"/>
    <x v="1"/>
    <n v="54"/>
    <s v="Electronics"/>
    <n v="2"/>
    <n v="500"/>
    <n v="1000"/>
    <s v="23/01/2023"/>
    <x v="1"/>
  </r>
  <r>
    <n v="50"/>
    <d v="2023-08-24T00:00:00"/>
    <x v="49"/>
    <x v="1"/>
    <n v="27"/>
    <s v="Beauty"/>
    <n v="3"/>
    <n v="25"/>
    <n v="75"/>
    <s v="24/08/2023"/>
    <x v="0"/>
  </r>
  <r>
    <n v="51"/>
    <d v="2023-10-02T00:00:00"/>
    <x v="50"/>
    <x v="0"/>
    <n v="27"/>
    <s v="Beauty"/>
    <n v="3"/>
    <n v="25"/>
    <n v="75"/>
    <s v="02/10/2023"/>
    <x v="0"/>
  </r>
  <r>
    <n v="52"/>
    <d v="2023-03-05T00:00:00"/>
    <x v="51"/>
    <x v="1"/>
    <n v="36"/>
    <s v="Beauty"/>
    <n v="1"/>
    <n v="300"/>
    <n v="300"/>
    <s v="05/03/2023"/>
    <x v="2"/>
  </r>
  <r>
    <n v="53"/>
    <d v="2023-07-13T00:00:00"/>
    <x v="52"/>
    <x v="0"/>
    <n v="34"/>
    <s v="Electronics"/>
    <n v="2"/>
    <n v="50"/>
    <n v="100"/>
    <s v="13/07/2023"/>
    <x v="0"/>
  </r>
  <r>
    <n v="54"/>
    <d v="2023-02-10T00:00:00"/>
    <x v="53"/>
    <x v="1"/>
    <n v="38"/>
    <s v="Electronics"/>
    <n v="3"/>
    <n v="500"/>
    <n v="1500"/>
    <s v="10/02/2023"/>
    <x v="2"/>
  </r>
  <r>
    <n v="55"/>
    <d v="2023-10-10T00:00:00"/>
    <x v="54"/>
    <x v="0"/>
    <n v="31"/>
    <s v="Beauty"/>
    <n v="4"/>
    <n v="30"/>
    <n v="120"/>
    <s v="10/10/2023"/>
    <x v="0"/>
  </r>
  <r>
    <n v="56"/>
    <d v="2023-05-31T00:00:00"/>
    <x v="55"/>
    <x v="1"/>
    <n v="26"/>
    <s v="Clothing"/>
    <n v="3"/>
    <n v="300"/>
    <n v="900"/>
    <s v="31/05/2023"/>
    <x v="0"/>
  </r>
  <r>
    <n v="57"/>
    <d v="2023-11-18T00:00:00"/>
    <x v="56"/>
    <x v="1"/>
    <n v="63"/>
    <s v="Beauty"/>
    <n v="1"/>
    <n v="30"/>
    <n v="30"/>
    <s v="18/11/2023"/>
    <x v="3"/>
  </r>
  <r>
    <n v="58"/>
    <d v="2023-11-13T00:00:00"/>
    <x v="57"/>
    <x v="0"/>
    <n v="18"/>
    <s v="Clothing"/>
    <n v="4"/>
    <n v="300"/>
    <n v="1200"/>
    <s v="13/11/2023"/>
    <x v="4"/>
  </r>
  <r>
    <n v="59"/>
    <d v="2023-07-05T00:00:00"/>
    <x v="58"/>
    <x v="0"/>
    <n v="62"/>
    <s v="Clothing"/>
    <n v="1"/>
    <n v="50"/>
    <n v="50"/>
    <s v="05/07/2023"/>
    <x v="3"/>
  </r>
  <r>
    <n v="60"/>
    <d v="2023-10-23T00:00:00"/>
    <x v="59"/>
    <x v="0"/>
    <n v="30"/>
    <s v="Beauty"/>
    <n v="3"/>
    <n v="50"/>
    <n v="150"/>
    <s v="23/10/2023"/>
    <x v="0"/>
  </r>
  <r>
    <n v="61"/>
    <d v="2023-04-09T00:00:00"/>
    <x v="60"/>
    <x v="0"/>
    <n v="21"/>
    <s v="Beauty"/>
    <n v="4"/>
    <n v="50"/>
    <n v="200"/>
    <s v="09/04/2023"/>
    <x v="4"/>
  </r>
  <r>
    <n v="62"/>
    <d v="2023-12-27T00:00:00"/>
    <x v="61"/>
    <x v="0"/>
    <n v="18"/>
    <s v="Beauty"/>
    <n v="2"/>
    <n v="50"/>
    <n v="100"/>
    <s v="27/12/2023"/>
    <x v="4"/>
  </r>
  <r>
    <n v="63"/>
    <d v="2023-02-05T00:00:00"/>
    <x v="62"/>
    <x v="0"/>
    <n v="57"/>
    <s v="Electronics"/>
    <n v="2"/>
    <n v="25"/>
    <n v="50"/>
    <s v="05/02/2023"/>
    <x v="1"/>
  </r>
  <r>
    <n v="64"/>
    <d v="2023-01-24T00:00:00"/>
    <x v="63"/>
    <x v="0"/>
    <n v="49"/>
    <s v="Clothing"/>
    <n v="4"/>
    <n v="25"/>
    <n v="100"/>
    <s v="24/01/2023"/>
    <x v="1"/>
  </r>
  <r>
    <n v="65"/>
    <d v="2023-12-05T00:00:00"/>
    <x v="64"/>
    <x v="0"/>
    <n v="51"/>
    <s v="Electronics"/>
    <n v="4"/>
    <n v="500"/>
    <n v="2000"/>
    <s v="05/12/2023"/>
    <x v="1"/>
  </r>
  <r>
    <n v="66"/>
    <d v="2023-04-27T00:00:00"/>
    <x v="65"/>
    <x v="1"/>
    <n v="45"/>
    <s v="Electronics"/>
    <n v="1"/>
    <n v="30"/>
    <n v="30"/>
    <s v="27/04/2023"/>
    <x v="2"/>
  </r>
  <r>
    <n v="67"/>
    <d v="2023-05-29T00:00:00"/>
    <x v="66"/>
    <x v="1"/>
    <n v="48"/>
    <s v="Beauty"/>
    <n v="4"/>
    <n v="300"/>
    <n v="1200"/>
    <s v="29/05/2023"/>
    <x v="1"/>
  </r>
  <r>
    <n v="68"/>
    <d v="2023-02-10T00:00:00"/>
    <x v="67"/>
    <x v="0"/>
    <n v="25"/>
    <s v="Electronics"/>
    <n v="1"/>
    <n v="300"/>
    <n v="300"/>
    <s v="10/02/2023"/>
    <x v="4"/>
  </r>
  <r>
    <n v="69"/>
    <d v="2023-04-30T00:00:00"/>
    <x v="68"/>
    <x v="1"/>
    <n v="56"/>
    <s v="Beauty"/>
    <n v="3"/>
    <n v="25"/>
    <n v="75"/>
    <s v="30/04/2023"/>
    <x v="1"/>
  </r>
  <r>
    <n v="70"/>
    <d v="2023-02-21T00:00:00"/>
    <x v="69"/>
    <x v="1"/>
    <n v="43"/>
    <s v="Clothing"/>
    <n v="1"/>
    <n v="300"/>
    <n v="300"/>
    <s v="21/02/2023"/>
    <x v="2"/>
  </r>
  <r>
    <n v="71"/>
    <d v="2023-07-14T00:00:00"/>
    <x v="70"/>
    <x v="1"/>
    <n v="51"/>
    <s v="Beauty"/>
    <n v="4"/>
    <n v="25"/>
    <n v="100"/>
    <s v="14/07/2023"/>
    <x v="1"/>
  </r>
  <r>
    <n v="72"/>
    <d v="2023-05-23T00:00:00"/>
    <x v="71"/>
    <x v="1"/>
    <n v="20"/>
    <s v="Electronics"/>
    <n v="4"/>
    <n v="500"/>
    <n v="2000"/>
    <s v="23/05/2023"/>
    <x v="4"/>
  </r>
  <r>
    <n v="73"/>
    <d v="2023-08-21T00:00:00"/>
    <x v="72"/>
    <x v="0"/>
    <n v="29"/>
    <s v="Electronics"/>
    <n v="3"/>
    <n v="30"/>
    <n v="90"/>
    <s v="21/08/2023"/>
    <x v="0"/>
  </r>
  <r>
    <n v="74"/>
    <d v="2023-11-22T00:00:00"/>
    <x v="73"/>
    <x v="1"/>
    <n v="18"/>
    <s v="Beauty"/>
    <n v="4"/>
    <n v="500"/>
    <n v="2000"/>
    <s v="22/11/2023"/>
    <x v="4"/>
  </r>
  <r>
    <n v="75"/>
    <d v="2023-07-06T00:00:00"/>
    <x v="74"/>
    <x v="0"/>
    <n v="61"/>
    <s v="Beauty"/>
    <n v="4"/>
    <n v="50"/>
    <n v="200"/>
    <s v="06/07/2023"/>
    <x v="3"/>
  </r>
  <r>
    <n v="76"/>
    <d v="2023-03-25T00:00:00"/>
    <x v="75"/>
    <x v="1"/>
    <n v="22"/>
    <s v="Electronics"/>
    <n v="2"/>
    <n v="50"/>
    <n v="100"/>
    <s v="25/03/2023"/>
    <x v="4"/>
  </r>
  <r>
    <n v="77"/>
    <d v="2023-07-09T00:00:00"/>
    <x v="76"/>
    <x v="1"/>
    <n v="47"/>
    <s v="Clothing"/>
    <n v="2"/>
    <n v="50"/>
    <n v="100"/>
    <s v="09/07/2023"/>
    <x v="1"/>
  </r>
  <r>
    <n v="78"/>
    <d v="2023-07-01T00:00:00"/>
    <x v="77"/>
    <x v="1"/>
    <n v="47"/>
    <s v="Clothing"/>
    <n v="3"/>
    <n v="500"/>
    <n v="1500"/>
    <s v="01/07/2023"/>
    <x v="1"/>
  </r>
  <r>
    <n v="79"/>
    <d v="2023-04-18T00:00:00"/>
    <x v="78"/>
    <x v="0"/>
    <n v="34"/>
    <s v="Beauty"/>
    <n v="1"/>
    <n v="300"/>
    <n v="300"/>
    <s v="18/04/2023"/>
    <x v="0"/>
  </r>
  <r>
    <n v="80"/>
    <d v="2023-12-10T00:00:00"/>
    <x v="79"/>
    <x v="1"/>
    <n v="64"/>
    <s v="Clothing"/>
    <n v="2"/>
    <n v="30"/>
    <n v="60"/>
    <s v="10/12/2023"/>
    <x v="3"/>
  </r>
  <r>
    <n v="81"/>
    <d v="2023-05-17T00:00:00"/>
    <x v="80"/>
    <x v="0"/>
    <n v="40"/>
    <s v="Electronics"/>
    <n v="1"/>
    <n v="50"/>
    <n v="50"/>
    <s v="17/05/2023"/>
    <x v="2"/>
  </r>
  <r>
    <n v="82"/>
    <d v="2023-12-26T00:00:00"/>
    <x v="81"/>
    <x v="1"/>
    <n v="32"/>
    <s v="Beauty"/>
    <n v="4"/>
    <n v="50"/>
    <n v="200"/>
    <s v="26/12/2023"/>
    <x v="0"/>
  </r>
  <r>
    <n v="83"/>
    <d v="2023-12-16T00:00:00"/>
    <x v="82"/>
    <x v="0"/>
    <n v="54"/>
    <s v="Electronics"/>
    <n v="2"/>
    <n v="50"/>
    <n v="100"/>
    <s v="16/12/2023"/>
    <x v="1"/>
  </r>
  <r>
    <n v="84"/>
    <d v="2023-11-28T00:00:00"/>
    <x v="83"/>
    <x v="1"/>
    <n v="38"/>
    <s v="Electronics"/>
    <n v="3"/>
    <n v="30"/>
    <n v="90"/>
    <s v="28/11/2023"/>
    <x v="2"/>
  </r>
  <r>
    <n v="85"/>
    <d v="2023-02-06T00:00:00"/>
    <x v="84"/>
    <x v="0"/>
    <n v="31"/>
    <s v="Clothing"/>
    <n v="3"/>
    <n v="50"/>
    <n v="150"/>
    <s v="06/02/2023"/>
    <x v="0"/>
  </r>
  <r>
    <n v="86"/>
    <d v="2023-11-08T00:00:00"/>
    <x v="85"/>
    <x v="0"/>
    <n v="19"/>
    <s v="Beauty"/>
    <n v="3"/>
    <n v="30"/>
    <n v="90"/>
    <s v="08/11/2023"/>
    <x v="4"/>
  </r>
  <r>
    <n v="87"/>
    <d v="2023-11-22T00:00:00"/>
    <x v="86"/>
    <x v="1"/>
    <n v="28"/>
    <s v="Beauty"/>
    <n v="2"/>
    <n v="50"/>
    <n v="100"/>
    <s v="22/11/2023"/>
    <x v="0"/>
  </r>
  <r>
    <n v="88"/>
    <d v="2023-03-29T00:00:00"/>
    <x v="87"/>
    <x v="0"/>
    <n v="56"/>
    <s v="Clothing"/>
    <n v="1"/>
    <n v="500"/>
    <n v="500"/>
    <s v="29/03/2023"/>
    <x v="1"/>
  </r>
  <r>
    <n v="89"/>
    <d v="2023-10-01T00:00:00"/>
    <x v="88"/>
    <x v="1"/>
    <n v="55"/>
    <s v="Electronics"/>
    <n v="4"/>
    <n v="500"/>
    <n v="2000"/>
    <s v="01/10/2023"/>
    <x v="1"/>
  </r>
  <r>
    <n v="90"/>
    <d v="2023-05-06T00:00:00"/>
    <x v="89"/>
    <x v="1"/>
    <n v="51"/>
    <s v="Electronics"/>
    <n v="1"/>
    <n v="30"/>
    <n v="30"/>
    <s v="06/05/2023"/>
    <x v="1"/>
  </r>
  <r>
    <n v="91"/>
    <d v="2023-03-25T00:00:00"/>
    <x v="90"/>
    <x v="1"/>
    <n v="55"/>
    <s v="Electronics"/>
    <n v="1"/>
    <n v="500"/>
    <n v="500"/>
    <s v="25/03/2023"/>
    <x v="1"/>
  </r>
  <r>
    <n v="92"/>
    <d v="2023-08-25T00:00:00"/>
    <x v="91"/>
    <x v="1"/>
    <n v="51"/>
    <s v="Electronics"/>
    <n v="4"/>
    <n v="30"/>
    <n v="120"/>
    <s v="25/08/2023"/>
    <x v="1"/>
  </r>
  <r>
    <n v="93"/>
    <d v="2023-07-14T00:00:00"/>
    <x v="92"/>
    <x v="1"/>
    <n v="35"/>
    <s v="Beauty"/>
    <n v="4"/>
    <n v="500"/>
    <n v="2000"/>
    <s v="14/07/2023"/>
    <x v="0"/>
  </r>
  <r>
    <n v="94"/>
    <d v="2023-05-19T00:00:00"/>
    <x v="93"/>
    <x v="1"/>
    <n v="47"/>
    <s v="Beauty"/>
    <n v="2"/>
    <n v="500"/>
    <n v="1000"/>
    <s v="19/05/2023"/>
    <x v="1"/>
  </r>
  <r>
    <n v="95"/>
    <d v="2023-11-24T00:00:00"/>
    <x v="94"/>
    <x v="1"/>
    <n v="32"/>
    <s v="Clothing"/>
    <n v="2"/>
    <n v="30"/>
    <n v="60"/>
    <s v="24/11/2023"/>
    <x v="0"/>
  </r>
  <r>
    <n v="96"/>
    <d v="2023-12-19T00:00:00"/>
    <x v="95"/>
    <x v="1"/>
    <n v="44"/>
    <s v="Clothing"/>
    <n v="2"/>
    <n v="300"/>
    <n v="600"/>
    <s v="19/12/2023"/>
    <x v="2"/>
  </r>
  <r>
    <n v="97"/>
    <d v="2023-10-13T00:00:00"/>
    <x v="96"/>
    <x v="1"/>
    <n v="51"/>
    <s v="Beauty"/>
    <n v="2"/>
    <n v="500"/>
    <n v="1000"/>
    <s v="13/10/2023"/>
    <x v="1"/>
  </r>
  <r>
    <n v="98"/>
    <d v="2023-04-23T00:00:00"/>
    <x v="97"/>
    <x v="1"/>
    <n v="55"/>
    <s v="Beauty"/>
    <n v="2"/>
    <n v="50"/>
    <n v="100"/>
    <s v="23/04/2023"/>
    <x v="1"/>
  </r>
  <r>
    <n v="99"/>
    <d v="2023-12-17T00:00:00"/>
    <x v="98"/>
    <x v="1"/>
    <n v="50"/>
    <s v="Electronics"/>
    <n v="4"/>
    <n v="300"/>
    <n v="1200"/>
    <s v="17/12/2023"/>
    <x v="1"/>
  </r>
  <r>
    <n v="100"/>
    <d v="2023-06-16T00:00:00"/>
    <x v="99"/>
    <x v="0"/>
    <n v="41"/>
    <s v="Electronics"/>
    <n v="1"/>
    <n v="30"/>
    <n v="30"/>
    <s v="16/06/2023"/>
    <x v="2"/>
  </r>
  <r>
    <n v="101"/>
    <d v="2023-01-29T00:00:00"/>
    <x v="100"/>
    <x v="0"/>
    <n v="32"/>
    <s v="Clothing"/>
    <n v="2"/>
    <n v="300"/>
    <n v="600"/>
    <s v="29/01/2023"/>
    <x v="0"/>
  </r>
  <r>
    <n v="102"/>
    <d v="2023-04-28T00:00:00"/>
    <x v="101"/>
    <x v="1"/>
    <n v="47"/>
    <s v="Beauty"/>
    <n v="2"/>
    <n v="25"/>
    <n v="50"/>
    <s v="28/04/2023"/>
    <x v="1"/>
  </r>
  <r>
    <n v="103"/>
    <d v="2023-01-17T00:00:00"/>
    <x v="102"/>
    <x v="1"/>
    <n v="59"/>
    <s v="Clothing"/>
    <n v="1"/>
    <n v="25"/>
    <n v="25"/>
    <s v="17/01/2023"/>
    <x v="1"/>
  </r>
  <r>
    <n v="104"/>
    <d v="2023-06-11T00:00:00"/>
    <x v="103"/>
    <x v="1"/>
    <n v="34"/>
    <s v="Beauty"/>
    <n v="2"/>
    <n v="500"/>
    <n v="1000"/>
    <s v="11/06/2023"/>
    <x v="0"/>
  </r>
  <r>
    <n v="105"/>
    <d v="2023-07-25T00:00:00"/>
    <x v="104"/>
    <x v="1"/>
    <n v="22"/>
    <s v="Electronics"/>
    <n v="1"/>
    <n v="500"/>
    <n v="500"/>
    <s v="25/07/2023"/>
    <x v="4"/>
  </r>
  <r>
    <n v="106"/>
    <d v="2023-05-18T00:00:00"/>
    <x v="105"/>
    <x v="1"/>
    <n v="46"/>
    <s v="Clothing"/>
    <n v="1"/>
    <n v="50"/>
    <n v="50"/>
    <s v="18/05/2023"/>
    <x v="1"/>
  </r>
  <r>
    <n v="107"/>
    <d v="2023-02-03T00:00:00"/>
    <x v="106"/>
    <x v="1"/>
    <n v="21"/>
    <s v="Clothing"/>
    <n v="4"/>
    <n v="300"/>
    <n v="1200"/>
    <s v="03/02/2023"/>
    <x v="4"/>
  </r>
  <r>
    <n v="108"/>
    <d v="2023-04-19T00:00:00"/>
    <x v="107"/>
    <x v="1"/>
    <n v="27"/>
    <s v="Beauty"/>
    <n v="3"/>
    <n v="25"/>
    <n v="75"/>
    <s v="19/04/2023"/>
    <x v="0"/>
  </r>
  <r>
    <n v="109"/>
    <d v="2023-10-18T00:00:00"/>
    <x v="108"/>
    <x v="1"/>
    <n v="34"/>
    <s v="Electronics"/>
    <n v="4"/>
    <n v="500"/>
    <n v="2000"/>
    <s v="18/10/2023"/>
    <x v="0"/>
  </r>
  <r>
    <n v="110"/>
    <d v="2023-06-11T00:00:00"/>
    <x v="109"/>
    <x v="0"/>
    <n v="27"/>
    <s v="Clothing"/>
    <n v="3"/>
    <n v="300"/>
    <n v="900"/>
    <s v="11/06/2023"/>
    <x v="0"/>
  </r>
  <r>
    <n v="111"/>
    <d v="2023-04-19T00:00:00"/>
    <x v="110"/>
    <x v="1"/>
    <n v="34"/>
    <s v="Electronics"/>
    <n v="3"/>
    <n v="500"/>
    <n v="1500"/>
    <s v="19/04/2023"/>
    <x v="0"/>
  </r>
  <r>
    <n v="112"/>
    <d v="2023-12-02T00:00:00"/>
    <x v="111"/>
    <x v="0"/>
    <n v="37"/>
    <s v="Clothing"/>
    <n v="3"/>
    <n v="500"/>
    <n v="1500"/>
    <s v="02/12/2023"/>
    <x v="2"/>
  </r>
  <r>
    <n v="113"/>
    <d v="2023-09-13T00:00:00"/>
    <x v="112"/>
    <x v="1"/>
    <n v="41"/>
    <s v="Electronics"/>
    <n v="2"/>
    <n v="25"/>
    <n v="50"/>
    <s v="13/09/2023"/>
    <x v="2"/>
  </r>
  <r>
    <n v="114"/>
    <d v="2023-07-22T00:00:00"/>
    <x v="113"/>
    <x v="1"/>
    <n v="22"/>
    <s v="Beauty"/>
    <n v="4"/>
    <n v="25"/>
    <n v="100"/>
    <s v="22/07/2023"/>
    <x v="4"/>
  </r>
  <r>
    <n v="115"/>
    <d v="2023-11-26T00:00:00"/>
    <x v="114"/>
    <x v="0"/>
    <n v="51"/>
    <s v="Clothing"/>
    <n v="3"/>
    <n v="500"/>
    <n v="1500"/>
    <s v="26/11/2023"/>
    <x v="1"/>
  </r>
  <r>
    <n v="116"/>
    <d v="2023-08-23T00:00:00"/>
    <x v="115"/>
    <x v="1"/>
    <n v="23"/>
    <s v="Clothing"/>
    <n v="1"/>
    <n v="30"/>
    <n v="30"/>
    <s v="23/08/2023"/>
    <x v="4"/>
  </r>
  <r>
    <n v="117"/>
    <d v="2023-03-15T00:00:00"/>
    <x v="116"/>
    <x v="0"/>
    <n v="19"/>
    <s v="Electronics"/>
    <n v="2"/>
    <n v="500"/>
    <n v="1000"/>
    <s v="15/03/2023"/>
    <x v="4"/>
  </r>
  <r>
    <n v="118"/>
    <d v="2023-05-16T00:00:00"/>
    <x v="117"/>
    <x v="1"/>
    <n v="30"/>
    <s v="Electronics"/>
    <n v="4"/>
    <n v="500"/>
    <n v="2000"/>
    <s v="16/05/2023"/>
    <x v="0"/>
  </r>
  <r>
    <n v="119"/>
    <d v="2023-03-13T00:00:00"/>
    <x v="118"/>
    <x v="1"/>
    <n v="60"/>
    <s v="Clothing"/>
    <n v="3"/>
    <n v="50"/>
    <n v="150"/>
    <s v="13/03/2023"/>
    <x v="1"/>
  </r>
  <r>
    <n v="120"/>
    <d v="2023-05-07T00:00:00"/>
    <x v="119"/>
    <x v="0"/>
    <n v="60"/>
    <s v="Beauty"/>
    <n v="1"/>
    <n v="50"/>
    <n v="50"/>
    <s v="07/05/2023"/>
    <x v="1"/>
  </r>
  <r>
    <n v="121"/>
    <d v="2023-10-15T00:00:00"/>
    <x v="120"/>
    <x v="1"/>
    <n v="28"/>
    <s v="Electronics"/>
    <n v="4"/>
    <n v="50"/>
    <n v="200"/>
    <s v="15/10/2023"/>
    <x v="0"/>
  </r>
  <r>
    <n v="122"/>
    <d v="2023-10-03T00:00:00"/>
    <x v="121"/>
    <x v="0"/>
    <n v="64"/>
    <s v="Electronics"/>
    <n v="4"/>
    <n v="30"/>
    <n v="120"/>
    <s v="03/10/2023"/>
    <x v="3"/>
  </r>
  <r>
    <n v="123"/>
    <d v="2023-05-15T00:00:00"/>
    <x v="122"/>
    <x v="1"/>
    <n v="40"/>
    <s v="Electronics"/>
    <n v="2"/>
    <n v="30"/>
    <n v="60"/>
    <s v="15/05/2023"/>
    <x v="2"/>
  </r>
  <r>
    <n v="124"/>
    <d v="2023-10-27T00:00:00"/>
    <x v="123"/>
    <x v="0"/>
    <n v="33"/>
    <s v="Clothing"/>
    <n v="4"/>
    <n v="500"/>
    <n v="2000"/>
    <s v="27/10/2023"/>
    <x v="0"/>
  </r>
  <r>
    <n v="125"/>
    <d v="2023-08-08T00:00:00"/>
    <x v="124"/>
    <x v="0"/>
    <n v="48"/>
    <s v="Clothing"/>
    <n v="2"/>
    <n v="50"/>
    <n v="100"/>
    <s v="08/08/2023"/>
    <x v="1"/>
  </r>
  <r>
    <n v="126"/>
    <d v="2023-10-26T00:00:00"/>
    <x v="125"/>
    <x v="1"/>
    <n v="28"/>
    <s v="Clothing"/>
    <n v="3"/>
    <n v="30"/>
    <n v="90"/>
    <s v="26/10/2023"/>
    <x v="0"/>
  </r>
  <r>
    <n v="127"/>
    <d v="2023-07-24T00:00:00"/>
    <x v="126"/>
    <x v="1"/>
    <n v="33"/>
    <s v="Clothing"/>
    <n v="2"/>
    <n v="25"/>
    <n v="50"/>
    <s v="24/07/2023"/>
    <x v="0"/>
  </r>
  <r>
    <n v="128"/>
    <d v="2023-07-05T00:00:00"/>
    <x v="127"/>
    <x v="0"/>
    <n v="25"/>
    <s v="Beauty"/>
    <n v="1"/>
    <n v="500"/>
    <n v="500"/>
    <s v="05/07/2023"/>
    <x v="4"/>
  </r>
  <r>
    <n v="129"/>
    <d v="2023-04-23T00:00:00"/>
    <x v="128"/>
    <x v="1"/>
    <n v="21"/>
    <s v="Beauty"/>
    <n v="2"/>
    <n v="300"/>
    <n v="600"/>
    <s v="23/04/2023"/>
    <x v="4"/>
  </r>
  <r>
    <n v="130"/>
    <d v="2023-03-12T00:00:00"/>
    <x v="129"/>
    <x v="1"/>
    <n v="57"/>
    <s v="Clothing"/>
    <n v="1"/>
    <n v="500"/>
    <n v="500"/>
    <s v="12/03/2023"/>
    <x v="1"/>
  </r>
  <r>
    <n v="131"/>
    <d v="2023-09-18T00:00:00"/>
    <x v="130"/>
    <x v="1"/>
    <n v="21"/>
    <s v="Beauty"/>
    <n v="2"/>
    <n v="300"/>
    <n v="600"/>
    <s v="18/09/2023"/>
    <x v="4"/>
  </r>
  <r>
    <n v="132"/>
    <d v="2023-09-10T00:00:00"/>
    <x v="131"/>
    <x v="0"/>
    <n v="42"/>
    <s v="Electronics"/>
    <n v="4"/>
    <n v="50"/>
    <n v="200"/>
    <s v="10/09/2023"/>
    <x v="2"/>
  </r>
  <r>
    <n v="133"/>
    <d v="2023-02-16T00:00:00"/>
    <x v="132"/>
    <x v="0"/>
    <n v="20"/>
    <s v="Electronics"/>
    <n v="3"/>
    <n v="300"/>
    <n v="900"/>
    <s v="16/02/2023"/>
    <x v="4"/>
  </r>
  <r>
    <n v="134"/>
    <d v="2023-01-25T00:00:00"/>
    <x v="133"/>
    <x v="0"/>
    <n v="49"/>
    <s v="Electronics"/>
    <n v="1"/>
    <n v="50"/>
    <n v="50"/>
    <s v="25/01/2023"/>
    <x v="1"/>
  </r>
  <r>
    <n v="135"/>
    <d v="2023-02-26T00:00:00"/>
    <x v="134"/>
    <x v="0"/>
    <n v="20"/>
    <s v="Clothing"/>
    <n v="2"/>
    <n v="25"/>
    <n v="50"/>
    <s v="26/02/2023"/>
    <x v="4"/>
  </r>
  <r>
    <n v="136"/>
    <d v="2023-03-20T00:00:00"/>
    <x v="135"/>
    <x v="0"/>
    <n v="44"/>
    <s v="Electronics"/>
    <n v="2"/>
    <n v="300"/>
    <n v="600"/>
    <s v="20/03/2023"/>
    <x v="2"/>
  </r>
  <r>
    <n v="137"/>
    <d v="2023-11-18T00:00:00"/>
    <x v="136"/>
    <x v="0"/>
    <n v="46"/>
    <s v="Beauty"/>
    <n v="2"/>
    <n v="500"/>
    <n v="1000"/>
    <s v="18/11/2023"/>
    <x v="1"/>
  </r>
  <r>
    <n v="138"/>
    <d v="2023-03-23T00:00:00"/>
    <x v="137"/>
    <x v="0"/>
    <n v="49"/>
    <s v="Clothing"/>
    <n v="4"/>
    <n v="50"/>
    <n v="200"/>
    <s v="23/03/2023"/>
    <x v="1"/>
  </r>
  <r>
    <n v="139"/>
    <d v="2023-12-15T00:00:00"/>
    <x v="138"/>
    <x v="0"/>
    <n v="36"/>
    <s v="Beauty"/>
    <n v="4"/>
    <n v="500"/>
    <n v="2000"/>
    <s v="15/12/2023"/>
    <x v="2"/>
  </r>
  <r>
    <n v="140"/>
    <d v="2023-08-05T00:00:00"/>
    <x v="139"/>
    <x v="0"/>
    <n v="38"/>
    <s v="Electronics"/>
    <n v="1"/>
    <n v="30"/>
    <n v="30"/>
    <s v="05/08/2023"/>
    <x v="2"/>
  </r>
  <r>
    <n v="141"/>
    <d v="2023-11-02T00:00:00"/>
    <x v="140"/>
    <x v="1"/>
    <n v="22"/>
    <s v="Electronics"/>
    <n v="1"/>
    <n v="50"/>
    <n v="50"/>
    <s v="02/11/2023"/>
    <x v="4"/>
  </r>
  <r>
    <n v="142"/>
    <d v="2023-02-02T00:00:00"/>
    <x v="141"/>
    <x v="0"/>
    <n v="35"/>
    <s v="Electronics"/>
    <n v="4"/>
    <n v="300"/>
    <n v="1200"/>
    <s v="02/02/2023"/>
    <x v="0"/>
  </r>
  <r>
    <n v="143"/>
    <d v="2023-07-17T00:00:00"/>
    <x v="142"/>
    <x v="1"/>
    <n v="45"/>
    <s v="Clothing"/>
    <n v="1"/>
    <n v="50"/>
    <n v="50"/>
    <s v="17/07/2023"/>
    <x v="2"/>
  </r>
  <r>
    <n v="144"/>
    <d v="2023-07-15T00:00:00"/>
    <x v="143"/>
    <x v="1"/>
    <n v="59"/>
    <s v="Beauty"/>
    <n v="3"/>
    <n v="500"/>
    <n v="1500"/>
    <s v="15/07/2023"/>
    <x v="1"/>
  </r>
  <r>
    <n v="145"/>
    <d v="2023-11-02T00:00:00"/>
    <x v="144"/>
    <x v="1"/>
    <n v="39"/>
    <s v="Clothing"/>
    <n v="3"/>
    <n v="25"/>
    <n v="75"/>
    <s v="02/11/2023"/>
    <x v="2"/>
  </r>
  <r>
    <n v="146"/>
    <d v="2023-08-28T00:00:00"/>
    <x v="145"/>
    <x v="0"/>
    <n v="38"/>
    <s v="Clothing"/>
    <n v="4"/>
    <n v="50"/>
    <n v="200"/>
    <s v="28/08/2023"/>
    <x v="2"/>
  </r>
  <r>
    <n v="147"/>
    <d v="2023-09-28T00:00:00"/>
    <x v="146"/>
    <x v="0"/>
    <n v="23"/>
    <s v="Electronics"/>
    <n v="1"/>
    <n v="300"/>
    <n v="300"/>
    <s v="28/09/2023"/>
    <x v="4"/>
  </r>
  <r>
    <n v="148"/>
    <d v="2023-05-09T00:00:00"/>
    <x v="147"/>
    <x v="0"/>
    <n v="18"/>
    <s v="Clothing"/>
    <n v="2"/>
    <n v="30"/>
    <n v="60"/>
    <s v="09/05/2023"/>
    <x v="4"/>
  </r>
  <r>
    <n v="149"/>
    <d v="2023-10-11T00:00:00"/>
    <x v="148"/>
    <x v="0"/>
    <n v="22"/>
    <s v="Clothing"/>
    <n v="3"/>
    <n v="25"/>
    <n v="75"/>
    <s v="11/10/2023"/>
    <x v="4"/>
  </r>
  <r>
    <n v="150"/>
    <d v="2023-01-06T00:00:00"/>
    <x v="149"/>
    <x v="1"/>
    <n v="58"/>
    <s v="Electronics"/>
    <n v="4"/>
    <n v="30"/>
    <n v="120"/>
    <s v="06/01/2023"/>
    <x v="1"/>
  </r>
  <r>
    <n v="151"/>
    <d v="2023-12-15T00:00:00"/>
    <x v="150"/>
    <x v="0"/>
    <n v="29"/>
    <s v="Clothing"/>
    <n v="1"/>
    <n v="50"/>
    <n v="50"/>
    <s v="15/12/2023"/>
    <x v="0"/>
  </r>
  <r>
    <n v="152"/>
    <d v="2023-02-28T00:00:00"/>
    <x v="151"/>
    <x v="0"/>
    <n v="43"/>
    <s v="Electronics"/>
    <n v="4"/>
    <n v="500"/>
    <n v="2000"/>
    <s v="28/02/2023"/>
    <x v="2"/>
  </r>
  <r>
    <n v="153"/>
    <d v="2023-12-16T00:00:00"/>
    <x v="152"/>
    <x v="0"/>
    <n v="63"/>
    <s v="Electronics"/>
    <n v="2"/>
    <n v="500"/>
    <n v="1000"/>
    <s v="16/12/2023"/>
    <x v="3"/>
  </r>
  <r>
    <n v="154"/>
    <d v="2023-10-02T00:00:00"/>
    <x v="153"/>
    <x v="0"/>
    <n v="51"/>
    <s v="Electronics"/>
    <n v="3"/>
    <n v="300"/>
    <n v="900"/>
    <s v="02/10/2023"/>
    <x v="1"/>
  </r>
  <r>
    <n v="155"/>
    <d v="2023-05-17T00:00:00"/>
    <x v="154"/>
    <x v="0"/>
    <n v="31"/>
    <s v="Electronics"/>
    <n v="4"/>
    <n v="500"/>
    <n v="2000"/>
    <s v="17/05/2023"/>
    <x v="0"/>
  </r>
  <r>
    <n v="156"/>
    <d v="2023-11-25T00:00:00"/>
    <x v="155"/>
    <x v="1"/>
    <n v="43"/>
    <s v="Clothing"/>
    <n v="4"/>
    <n v="25"/>
    <n v="100"/>
    <s v="25/11/2023"/>
    <x v="2"/>
  </r>
  <r>
    <n v="157"/>
    <d v="2023-06-24T00:00:00"/>
    <x v="156"/>
    <x v="0"/>
    <n v="62"/>
    <s v="Electronics"/>
    <n v="4"/>
    <n v="500"/>
    <n v="2000"/>
    <s v="24/06/2023"/>
    <x v="3"/>
  </r>
  <r>
    <n v="158"/>
    <d v="2023-02-27T00:00:00"/>
    <x v="157"/>
    <x v="1"/>
    <n v="44"/>
    <s v="Electronics"/>
    <n v="2"/>
    <n v="300"/>
    <n v="600"/>
    <s v="27/02/2023"/>
    <x v="2"/>
  </r>
  <r>
    <n v="159"/>
    <d v="2023-05-31T00:00:00"/>
    <x v="158"/>
    <x v="0"/>
    <n v="26"/>
    <s v="Clothing"/>
    <n v="4"/>
    <n v="50"/>
    <n v="200"/>
    <s v="31/05/2023"/>
    <x v="0"/>
  </r>
  <r>
    <n v="160"/>
    <d v="2023-08-11T00:00:00"/>
    <x v="159"/>
    <x v="1"/>
    <n v="43"/>
    <s v="Clothing"/>
    <n v="2"/>
    <n v="50"/>
    <n v="100"/>
    <s v="11/08/2023"/>
    <x v="2"/>
  </r>
  <r>
    <n v="161"/>
    <d v="2023-03-22T00:00:00"/>
    <x v="160"/>
    <x v="0"/>
    <n v="64"/>
    <s v="Beauty"/>
    <n v="2"/>
    <n v="500"/>
    <n v="1000"/>
    <s v="22/03/2023"/>
    <x v="3"/>
  </r>
  <r>
    <n v="162"/>
    <d v="2023-08-21T00:00:00"/>
    <x v="161"/>
    <x v="0"/>
    <n v="39"/>
    <s v="Clothing"/>
    <n v="2"/>
    <n v="30"/>
    <n v="60"/>
    <s v="21/08/2023"/>
    <x v="2"/>
  </r>
  <r>
    <n v="163"/>
    <d v="2023-01-02T00:00:00"/>
    <x v="162"/>
    <x v="1"/>
    <n v="64"/>
    <s v="Clothing"/>
    <n v="3"/>
    <n v="50"/>
    <n v="150"/>
    <s v="02/01/2023"/>
    <x v="3"/>
  </r>
  <r>
    <n v="164"/>
    <d v="2023-05-15T00:00:00"/>
    <x v="163"/>
    <x v="1"/>
    <n v="47"/>
    <s v="Beauty"/>
    <n v="3"/>
    <n v="500"/>
    <n v="1500"/>
    <s v="15/05/2023"/>
    <x v="1"/>
  </r>
  <r>
    <n v="165"/>
    <d v="2023-09-14T00:00:00"/>
    <x v="164"/>
    <x v="1"/>
    <n v="60"/>
    <s v="Clothing"/>
    <n v="4"/>
    <n v="300"/>
    <n v="1200"/>
    <s v="14/09/2023"/>
    <x v="1"/>
  </r>
  <r>
    <n v="166"/>
    <d v="2023-04-02T00:00:00"/>
    <x v="165"/>
    <x v="0"/>
    <n v="34"/>
    <s v="Clothing"/>
    <n v="4"/>
    <n v="500"/>
    <n v="2000"/>
    <s v="02/04/2023"/>
    <x v="0"/>
  </r>
  <r>
    <n v="167"/>
    <d v="2023-09-17T00:00:00"/>
    <x v="166"/>
    <x v="1"/>
    <n v="43"/>
    <s v="Clothing"/>
    <n v="3"/>
    <n v="50"/>
    <n v="150"/>
    <s v="17/09/2023"/>
    <x v="2"/>
  </r>
  <r>
    <n v="168"/>
    <d v="2023-02-24T00:00:00"/>
    <x v="167"/>
    <x v="0"/>
    <n v="53"/>
    <s v="Clothing"/>
    <n v="1"/>
    <n v="300"/>
    <n v="300"/>
    <s v="24/02/2023"/>
    <x v="1"/>
  </r>
  <r>
    <n v="169"/>
    <d v="2023-11-17T00:00:00"/>
    <x v="168"/>
    <x v="0"/>
    <n v="18"/>
    <s v="Beauty"/>
    <n v="3"/>
    <n v="500"/>
    <n v="1500"/>
    <s v="17/11/2023"/>
    <x v="4"/>
  </r>
  <r>
    <n v="170"/>
    <d v="2023-06-02T00:00:00"/>
    <x v="169"/>
    <x v="1"/>
    <n v="25"/>
    <s v="Clothing"/>
    <n v="2"/>
    <n v="25"/>
    <n v="50"/>
    <s v="02/06/2023"/>
    <x v="4"/>
  </r>
  <r>
    <n v="171"/>
    <d v="2023-11-24T00:00:00"/>
    <x v="170"/>
    <x v="1"/>
    <n v="52"/>
    <s v="Clothing"/>
    <n v="3"/>
    <n v="300"/>
    <n v="900"/>
    <s v="24/11/2023"/>
    <x v="1"/>
  </r>
  <r>
    <n v="172"/>
    <d v="2023-09-17T00:00:00"/>
    <x v="171"/>
    <x v="0"/>
    <n v="32"/>
    <s v="Beauty"/>
    <n v="2"/>
    <n v="25"/>
    <n v="50"/>
    <s v="17/09/2023"/>
    <x v="0"/>
  </r>
  <r>
    <n v="173"/>
    <d v="2023-11-08T00:00:00"/>
    <x v="172"/>
    <x v="0"/>
    <n v="64"/>
    <s v="Electronics"/>
    <n v="4"/>
    <n v="30"/>
    <n v="120"/>
    <s v="08/11/2023"/>
    <x v="3"/>
  </r>
  <r>
    <n v="174"/>
    <d v="2023-04-12T00:00:00"/>
    <x v="173"/>
    <x v="1"/>
    <n v="39"/>
    <s v="Beauty"/>
    <n v="1"/>
    <n v="300"/>
    <n v="300"/>
    <s v="12/04/2023"/>
    <x v="2"/>
  </r>
  <r>
    <n v="175"/>
    <d v="2023-03-20T00:00:00"/>
    <x v="174"/>
    <x v="1"/>
    <n v="31"/>
    <s v="Electronics"/>
    <n v="4"/>
    <n v="25"/>
    <n v="100"/>
    <s v="20/03/2023"/>
    <x v="0"/>
  </r>
  <r>
    <n v="176"/>
    <d v="2023-07-11T00:00:00"/>
    <x v="175"/>
    <x v="1"/>
    <n v="43"/>
    <s v="Beauty"/>
    <n v="2"/>
    <n v="50"/>
    <n v="100"/>
    <s v="11/07/2023"/>
    <x v="2"/>
  </r>
  <r>
    <n v="177"/>
    <d v="2023-03-24T00:00:00"/>
    <x v="176"/>
    <x v="0"/>
    <n v="45"/>
    <s v="Beauty"/>
    <n v="2"/>
    <n v="50"/>
    <n v="100"/>
    <s v="24/03/2023"/>
    <x v="2"/>
  </r>
  <r>
    <n v="178"/>
    <d v="2023-10-04T00:00:00"/>
    <x v="177"/>
    <x v="0"/>
    <n v="40"/>
    <s v="Clothing"/>
    <n v="2"/>
    <n v="30"/>
    <n v="60"/>
    <s v="04/10/2023"/>
    <x v="2"/>
  </r>
  <r>
    <n v="179"/>
    <d v="2023-09-29T00:00:00"/>
    <x v="178"/>
    <x v="0"/>
    <n v="31"/>
    <s v="Electronics"/>
    <n v="1"/>
    <n v="300"/>
    <n v="300"/>
    <s v="29/09/2023"/>
    <x v="0"/>
  </r>
  <r>
    <n v="180"/>
    <d v="2023-01-01T00:00:00"/>
    <x v="179"/>
    <x v="0"/>
    <n v="41"/>
    <s v="Clothing"/>
    <n v="3"/>
    <n v="300"/>
    <n v="900"/>
    <s v="01/01/2023"/>
    <x v="2"/>
  </r>
  <r>
    <n v="181"/>
    <d v="2023-11-03T00:00:00"/>
    <x v="180"/>
    <x v="0"/>
    <n v="19"/>
    <s v="Electronics"/>
    <n v="4"/>
    <n v="300"/>
    <n v="1200"/>
    <s v="03/11/2023"/>
    <x v="4"/>
  </r>
  <r>
    <n v="182"/>
    <d v="2023-06-15T00:00:00"/>
    <x v="181"/>
    <x v="0"/>
    <n v="62"/>
    <s v="Beauty"/>
    <n v="4"/>
    <n v="30"/>
    <n v="120"/>
    <s v="15/06/2023"/>
    <x v="3"/>
  </r>
  <r>
    <n v="183"/>
    <d v="2023-09-08T00:00:00"/>
    <x v="182"/>
    <x v="1"/>
    <n v="43"/>
    <s v="Beauty"/>
    <n v="3"/>
    <n v="300"/>
    <n v="900"/>
    <s v="08/09/2023"/>
    <x v="2"/>
  </r>
  <r>
    <n v="184"/>
    <d v="2023-01-10T00:00:00"/>
    <x v="183"/>
    <x v="0"/>
    <n v="31"/>
    <s v="Electronics"/>
    <n v="4"/>
    <n v="50"/>
    <n v="200"/>
    <s v="10/01/2023"/>
    <x v="0"/>
  </r>
  <r>
    <n v="185"/>
    <d v="2023-02-27T00:00:00"/>
    <x v="184"/>
    <x v="0"/>
    <n v="24"/>
    <s v="Clothing"/>
    <n v="1"/>
    <n v="25"/>
    <n v="25"/>
    <s v="27/02/2023"/>
    <x v="4"/>
  </r>
  <r>
    <n v="186"/>
    <d v="2023-07-05T00:00:00"/>
    <x v="185"/>
    <x v="0"/>
    <n v="20"/>
    <s v="Clothing"/>
    <n v="4"/>
    <n v="50"/>
    <n v="200"/>
    <s v="05/07/2023"/>
    <x v="4"/>
  </r>
  <r>
    <n v="187"/>
    <d v="2023-06-07T00:00:00"/>
    <x v="186"/>
    <x v="1"/>
    <n v="64"/>
    <s v="Clothing"/>
    <n v="2"/>
    <n v="50"/>
    <n v="100"/>
    <s v="07/06/2023"/>
    <x v="3"/>
  </r>
  <r>
    <n v="188"/>
    <d v="2023-05-03T00:00:00"/>
    <x v="187"/>
    <x v="0"/>
    <n v="40"/>
    <s v="Clothing"/>
    <n v="3"/>
    <n v="25"/>
    <n v="75"/>
    <s v="03/05/2023"/>
    <x v="2"/>
  </r>
  <r>
    <n v="189"/>
    <d v="2023-01-30T00:00:00"/>
    <x v="188"/>
    <x v="0"/>
    <n v="63"/>
    <s v="Beauty"/>
    <n v="1"/>
    <n v="50"/>
    <n v="50"/>
    <s v="30/01/2023"/>
    <x v="3"/>
  </r>
  <r>
    <n v="190"/>
    <d v="2023-05-04T00:00:00"/>
    <x v="189"/>
    <x v="1"/>
    <n v="60"/>
    <s v="Beauty"/>
    <n v="3"/>
    <n v="30"/>
    <n v="90"/>
    <s v="04/05/2023"/>
    <x v="1"/>
  </r>
  <r>
    <n v="191"/>
    <d v="2023-10-18T00:00:00"/>
    <x v="190"/>
    <x v="0"/>
    <n v="64"/>
    <s v="Beauty"/>
    <n v="1"/>
    <n v="25"/>
    <n v="25"/>
    <s v="18/10/2023"/>
    <x v="3"/>
  </r>
  <r>
    <n v="192"/>
    <d v="2023-02-10T00:00:00"/>
    <x v="191"/>
    <x v="0"/>
    <n v="62"/>
    <s v="Beauty"/>
    <n v="2"/>
    <n v="50"/>
    <n v="100"/>
    <s v="10/02/2023"/>
    <x v="3"/>
  </r>
  <r>
    <n v="193"/>
    <d v="2023-02-13T00:00:00"/>
    <x v="192"/>
    <x v="0"/>
    <n v="35"/>
    <s v="Beauty"/>
    <n v="3"/>
    <n v="500"/>
    <n v="1500"/>
    <s v="13/02/2023"/>
    <x v="0"/>
  </r>
  <r>
    <n v="194"/>
    <d v="2023-09-06T00:00:00"/>
    <x v="193"/>
    <x v="0"/>
    <n v="55"/>
    <s v="Clothing"/>
    <n v="4"/>
    <n v="50"/>
    <n v="200"/>
    <s v="06/09/2023"/>
    <x v="1"/>
  </r>
  <r>
    <n v="195"/>
    <d v="2023-02-05T00:00:00"/>
    <x v="194"/>
    <x v="0"/>
    <n v="52"/>
    <s v="Clothing"/>
    <n v="1"/>
    <n v="30"/>
    <n v="30"/>
    <s v="05/02/2023"/>
    <x v="1"/>
  </r>
  <r>
    <n v="196"/>
    <d v="2023-09-30T00:00:00"/>
    <x v="195"/>
    <x v="1"/>
    <n v="32"/>
    <s v="Clothing"/>
    <n v="3"/>
    <n v="300"/>
    <n v="900"/>
    <s v="30/09/2023"/>
    <x v="0"/>
  </r>
  <r>
    <n v="197"/>
    <d v="2023-03-06T00:00:00"/>
    <x v="196"/>
    <x v="1"/>
    <n v="42"/>
    <s v="Clothing"/>
    <n v="4"/>
    <n v="50"/>
    <n v="200"/>
    <s v="06/03/2023"/>
    <x v="2"/>
  </r>
  <r>
    <n v="198"/>
    <d v="2023-03-07T00:00:00"/>
    <x v="197"/>
    <x v="1"/>
    <n v="54"/>
    <s v="Beauty"/>
    <n v="3"/>
    <n v="300"/>
    <n v="900"/>
    <s v="07/03/2023"/>
    <x v="1"/>
  </r>
  <r>
    <n v="199"/>
    <d v="2023-12-04T00:00:00"/>
    <x v="198"/>
    <x v="0"/>
    <n v="45"/>
    <s v="Beauty"/>
    <n v="3"/>
    <n v="500"/>
    <n v="1500"/>
    <s v="04/12/2023"/>
    <x v="2"/>
  </r>
  <r>
    <n v="200"/>
    <d v="2023-09-01T00:00:00"/>
    <x v="199"/>
    <x v="0"/>
    <n v="27"/>
    <s v="Beauty"/>
    <n v="3"/>
    <n v="50"/>
    <n v="150"/>
    <s v="01/09/2023"/>
    <x v="0"/>
  </r>
  <r>
    <n v="201"/>
    <d v="2023-10-09T00:00:00"/>
    <x v="200"/>
    <x v="0"/>
    <n v="56"/>
    <s v="Electronics"/>
    <n v="1"/>
    <n v="25"/>
    <n v="25"/>
    <s v="09/10/2023"/>
    <x v="1"/>
  </r>
  <r>
    <n v="202"/>
    <d v="2023-03-26T00:00:00"/>
    <x v="201"/>
    <x v="1"/>
    <n v="34"/>
    <s v="Clothing"/>
    <n v="4"/>
    <n v="300"/>
    <n v="1200"/>
    <s v="26/03/2023"/>
    <x v="0"/>
  </r>
  <r>
    <n v="203"/>
    <d v="2023-05-16T00:00:00"/>
    <x v="202"/>
    <x v="0"/>
    <n v="56"/>
    <s v="Clothing"/>
    <n v="2"/>
    <n v="500"/>
    <n v="1000"/>
    <s v="16/05/2023"/>
    <x v="1"/>
  </r>
  <r>
    <n v="204"/>
    <d v="2023-09-28T00:00:00"/>
    <x v="203"/>
    <x v="0"/>
    <n v="39"/>
    <s v="Beauty"/>
    <n v="1"/>
    <n v="25"/>
    <n v="25"/>
    <s v="28/09/2023"/>
    <x v="2"/>
  </r>
  <r>
    <n v="205"/>
    <d v="2023-11-07T00:00:00"/>
    <x v="204"/>
    <x v="1"/>
    <n v="43"/>
    <s v="Clothing"/>
    <n v="1"/>
    <n v="25"/>
    <n v="25"/>
    <s v="07/11/2023"/>
    <x v="2"/>
  </r>
  <r>
    <n v="206"/>
    <d v="2023-08-05T00:00:00"/>
    <x v="205"/>
    <x v="0"/>
    <n v="61"/>
    <s v="Clothing"/>
    <n v="1"/>
    <n v="25"/>
    <n v="25"/>
    <s v="05/08/2023"/>
    <x v="3"/>
  </r>
  <r>
    <n v="207"/>
    <d v="2023-04-19T00:00:00"/>
    <x v="206"/>
    <x v="1"/>
    <n v="42"/>
    <s v="Beauty"/>
    <n v="2"/>
    <n v="25"/>
    <n v="50"/>
    <s v="19/04/2023"/>
    <x v="2"/>
  </r>
  <r>
    <n v="208"/>
    <d v="2023-10-04T00:00:00"/>
    <x v="207"/>
    <x v="1"/>
    <n v="34"/>
    <s v="Electronics"/>
    <n v="4"/>
    <n v="50"/>
    <n v="200"/>
    <s v="04/10/2023"/>
    <x v="0"/>
  </r>
  <r>
    <n v="209"/>
    <d v="2023-12-20T00:00:00"/>
    <x v="208"/>
    <x v="1"/>
    <n v="30"/>
    <s v="Electronics"/>
    <n v="4"/>
    <n v="50"/>
    <n v="200"/>
    <s v="20/12/2023"/>
    <x v="0"/>
  </r>
  <r>
    <n v="210"/>
    <d v="2023-04-13T00:00:00"/>
    <x v="209"/>
    <x v="0"/>
    <n v="37"/>
    <s v="Electronics"/>
    <n v="4"/>
    <n v="50"/>
    <n v="200"/>
    <s v="13/04/2023"/>
    <x v="2"/>
  </r>
  <r>
    <n v="211"/>
    <d v="2024-01-01T00:00:00"/>
    <x v="210"/>
    <x v="0"/>
    <n v="42"/>
    <s v="Beauty"/>
    <n v="3"/>
    <n v="500"/>
    <n v="1500"/>
    <s v="01/01/2024"/>
    <x v="2"/>
  </r>
  <r>
    <n v="212"/>
    <d v="2023-06-09T00:00:00"/>
    <x v="211"/>
    <x v="0"/>
    <n v="21"/>
    <s v="Clothing"/>
    <n v="3"/>
    <n v="500"/>
    <n v="1500"/>
    <s v="09/06/2023"/>
    <x v="4"/>
  </r>
  <r>
    <n v="213"/>
    <d v="2023-07-24T00:00:00"/>
    <x v="212"/>
    <x v="0"/>
    <n v="27"/>
    <s v="Beauty"/>
    <n v="3"/>
    <n v="500"/>
    <n v="1500"/>
    <s v="24/07/2023"/>
    <x v="0"/>
  </r>
  <r>
    <n v="214"/>
    <d v="2023-12-10T00:00:00"/>
    <x v="213"/>
    <x v="0"/>
    <n v="20"/>
    <s v="Beauty"/>
    <n v="2"/>
    <n v="30"/>
    <n v="60"/>
    <s v="10/12/2023"/>
    <x v="4"/>
  </r>
  <r>
    <n v="215"/>
    <d v="2023-11-29T00:00:00"/>
    <x v="214"/>
    <x v="0"/>
    <n v="58"/>
    <s v="Clothing"/>
    <n v="3"/>
    <n v="500"/>
    <n v="1500"/>
    <s v="29/11/2023"/>
    <x v="1"/>
  </r>
  <r>
    <n v="216"/>
    <d v="2023-07-11T00:00:00"/>
    <x v="215"/>
    <x v="0"/>
    <n v="62"/>
    <s v="Electronics"/>
    <n v="2"/>
    <n v="50"/>
    <n v="100"/>
    <s v="11/07/2023"/>
    <x v="3"/>
  </r>
  <r>
    <n v="217"/>
    <d v="2023-08-13T00:00:00"/>
    <x v="216"/>
    <x v="1"/>
    <n v="35"/>
    <s v="Electronics"/>
    <n v="4"/>
    <n v="50"/>
    <n v="200"/>
    <s v="13/08/2023"/>
    <x v="0"/>
  </r>
  <r>
    <n v="218"/>
    <d v="2023-09-22T00:00:00"/>
    <x v="217"/>
    <x v="0"/>
    <n v="64"/>
    <s v="Beauty"/>
    <n v="3"/>
    <n v="30"/>
    <n v="90"/>
    <s v="22/09/2023"/>
    <x v="3"/>
  </r>
  <r>
    <n v="219"/>
    <d v="2023-08-20T00:00:00"/>
    <x v="218"/>
    <x v="1"/>
    <n v="53"/>
    <s v="Electronics"/>
    <n v="3"/>
    <n v="30"/>
    <n v="90"/>
    <s v="20/08/2023"/>
    <x v="1"/>
  </r>
  <r>
    <n v="220"/>
    <d v="2023-03-03T00:00:00"/>
    <x v="219"/>
    <x v="0"/>
    <n v="64"/>
    <s v="Beauty"/>
    <n v="1"/>
    <n v="500"/>
    <n v="500"/>
    <s v="03/03/2023"/>
    <x v="3"/>
  </r>
  <r>
    <n v="221"/>
    <d v="2023-05-07T00:00:00"/>
    <x v="220"/>
    <x v="0"/>
    <n v="39"/>
    <s v="Beauty"/>
    <n v="2"/>
    <n v="300"/>
    <n v="600"/>
    <s v="07/05/2023"/>
    <x v="2"/>
  </r>
  <r>
    <n v="222"/>
    <d v="2023-04-26T00:00:00"/>
    <x v="221"/>
    <x v="0"/>
    <n v="51"/>
    <s v="Clothing"/>
    <n v="4"/>
    <n v="30"/>
    <n v="120"/>
    <s v="26/04/2023"/>
    <x v="1"/>
  </r>
  <r>
    <n v="223"/>
    <d v="2023-02-02T00:00:00"/>
    <x v="222"/>
    <x v="1"/>
    <n v="64"/>
    <s v="Clothing"/>
    <n v="1"/>
    <n v="25"/>
    <n v="25"/>
    <s v="02/02/2023"/>
    <x v="3"/>
  </r>
  <r>
    <n v="224"/>
    <d v="2023-06-23T00:00:00"/>
    <x v="223"/>
    <x v="1"/>
    <n v="25"/>
    <s v="Clothing"/>
    <n v="1"/>
    <n v="50"/>
    <n v="50"/>
    <s v="23/06/2023"/>
    <x v="4"/>
  </r>
  <r>
    <n v="225"/>
    <d v="2023-01-11T00:00:00"/>
    <x v="224"/>
    <x v="1"/>
    <n v="57"/>
    <s v="Beauty"/>
    <n v="4"/>
    <n v="25"/>
    <n v="100"/>
    <s v="11/01/2023"/>
    <x v="1"/>
  </r>
  <r>
    <n v="226"/>
    <d v="2023-10-29T00:00:00"/>
    <x v="225"/>
    <x v="1"/>
    <n v="61"/>
    <s v="Clothing"/>
    <n v="1"/>
    <n v="50"/>
    <n v="50"/>
    <s v="29/10/2023"/>
    <x v="3"/>
  </r>
  <r>
    <n v="227"/>
    <d v="2023-10-11T00:00:00"/>
    <x v="226"/>
    <x v="0"/>
    <n v="36"/>
    <s v="Electronics"/>
    <n v="2"/>
    <n v="50"/>
    <n v="100"/>
    <s v="11/10/2023"/>
    <x v="2"/>
  </r>
  <r>
    <n v="228"/>
    <d v="2023-04-28T00:00:00"/>
    <x v="227"/>
    <x v="1"/>
    <n v="59"/>
    <s v="Electronics"/>
    <n v="2"/>
    <n v="30"/>
    <n v="60"/>
    <s v="28/04/2023"/>
    <x v="1"/>
  </r>
  <r>
    <n v="229"/>
    <d v="2023-10-29T00:00:00"/>
    <x v="228"/>
    <x v="0"/>
    <n v="58"/>
    <s v="Beauty"/>
    <n v="3"/>
    <n v="30"/>
    <n v="90"/>
    <s v="29/10/2023"/>
    <x v="1"/>
  </r>
  <r>
    <n v="230"/>
    <d v="2023-04-23T00:00:00"/>
    <x v="229"/>
    <x v="0"/>
    <n v="54"/>
    <s v="Beauty"/>
    <n v="1"/>
    <n v="25"/>
    <n v="25"/>
    <s v="23/04/2023"/>
    <x v="1"/>
  </r>
  <r>
    <n v="231"/>
    <d v="2023-01-04T00:00:00"/>
    <x v="230"/>
    <x v="1"/>
    <n v="23"/>
    <s v="Clothing"/>
    <n v="3"/>
    <n v="50"/>
    <n v="150"/>
    <s v="04/01/2023"/>
    <x v="4"/>
  </r>
  <r>
    <n v="232"/>
    <d v="2023-02-06T00:00:00"/>
    <x v="231"/>
    <x v="1"/>
    <n v="43"/>
    <s v="Beauty"/>
    <n v="1"/>
    <n v="25"/>
    <n v="25"/>
    <s v="06/02/2023"/>
    <x v="2"/>
  </r>
  <r>
    <n v="233"/>
    <d v="2023-12-29T00:00:00"/>
    <x v="232"/>
    <x v="1"/>
    <n v="51"/>
    <s v="Beauty"/>
    <n v="2"/>
    <n v="300"/>
    <n v="600"/>
    <s v="29/12/2023"/>
    <x v="1"/>
  </r>
  <r>
    <n v="234"/>
    <d v="2023-11-20T00:00:00"/>
    <x v="233"/>
    <x v="1"/>
    <n v="62"/>
    <s v="Electronics"/>
    <n v="2"/>
    <n v="25"/>
    <n v="50"/>
    <s v="20/11/2023"/>
    <x v="3"/>
  </r>
  <r>
    <n v="235"/>
    <d v="2023-01-31T00:00:00"/>
    <x v="234"/>
    <x v="1"/>
    <n v="23"/>
    <s v="Electronics"/>
    <n v="2"/>
    <n v="500"/>
    <n v="1000"/>
    <s v="31/01/2023"/>
    <x v="4"/>
  </r>
  <r>
    <n v="236"/>
    <d v="2023-04-28T00:00:00"/>
    <x v="235"/>
    <x v="1"/>
    <n v="54"/>
    <s v="Clothing"/>
    <n v="1"/>
    <n v="25"/>
    <n v="25"/>
    <s v="28/04/2023"/>
    <x v="1"/>
  </r>
  <r>
    <n v="237"/>
    <d v="2023-02-04T00:00:00"/>
    <x v="236"/>
    <x v="1"/>
    <n v="50"/>
    <s v="Beauty"/>
    <n v="2"/>
    <n v="500"/>
    <n v="1000"/>
    <s v="04/02/2023"/>
    <x v="1"/>
  </r>
  <r>
    <n v="238"/>
    <d v="2023-01-17T00:00:00"/>
    <x v="237"/>
    <x v="1"/>
    <n v="39"/>
    <s v="Beauty"/>
    <n v="1"/>
    <n v="500"/>
    <n v="500"/>
    <s v="17/01/2023"/>
    <x v="2"/>
  </r>
  <r>
    <n v="239"/>
    <d v="2023-06-19T00:00:00"/>
    <x v="238"/>
    <x v="0"/>
    <n v="38"/>
    <s v="Electronics"/>
    <n v="3"/>
    <n v="500"/>
    <n v="1500"/>
    <s v="19/06/2023"/>
    <x v="2"/>
  </r>
  <r>
    <n v="240"/>
    <d v="2023-02-06T00:00:00"/>
    <x v="239"/>
    <x v="1"/>
    <n v="23"/>
    <s v="Beauty"/>
    <n v="1"/>
    <n v="300"/>
    <n v="300"/>
    <s v="06/02/2023"/>
    <x v="4"/>
  </r>
  <r>
    <n v="241"/>
    <d v="2023-09-21T00:00:00"/>
    <x v="240"/>
    <x v="1"/>
    <n v="23"/>
    <s v="Electronics"/>
    <n v="3"/>
    <n v="25"/>
    <n v="75"/>
    <s v="21/09/2023"/>
    <x v="4"/>
  </r>
  <r>
    <n v="242"/>
    <d v="2023-05-02T00:00:00"/>
    <x v="241"/>
    <x v="0"/>
    <n v="21"/>
    <s v="Clothing"/>
    <n v="1"/>
    <n v="25"/>
    <n v="25"/>
    <s v="02/05/2023"/>
    <x v="4"/>
  </r>
  <r>
    <n v="243"/>
    <d v="2023-05-23T00:00:00"/>
    <x v="242"/>
    <x v="1"/>
    <n v="47"/>
    <s v="Electronics"/>
    <n v="3"/>
    <n v="300"/>
    <n v="900"/>
    <s v="23/05/2023"/>
    <x v="1"/>
  </r>
  <r>
    <n v="244"/>
    <d v="2023-12-09T00:00:00"/>
    <x v="243"/>
    <x v="0"/>
    <n v="28"/>
    <s v="Beauty"/>
    <n v="2"/>
    <n v="50"/>
    <n v="100"/>
    <s v="09/12/2023"/>
    <x v="0"/>
  </r>
  <r>
    <n v="245"/>
    <d v="2023-09-06T00:00:00"/>
    <x v="244"/>
    <x v="0"/>
    <n v="47"/>
    <s v="Clothing"/>
    <n v="3"/>
    <n v="30"/>
    <n v="90"/>
    <s v="06/09/2023"/>
    <x v="1"/>
  </r>
  <r>
    <n v="246"/>
    <d v="2023-04-20T00:00:00"/>
    <x v="245"/>
    <x v="1"/>
    <n v="48"/>
    <s v="Electronics"/>
    <n v="2"/>
    <n v="25"/>
    <n v="50"/>
    <s v="20/04/2023"/>
    <x v="1"/>
  </r>
  <r>
    <n v="247"/>
    <d v="2023-10-04T00:00:00"/>
    <x v="246"/>
    <x v="0"/>
    <n v="41"/>
    <s v="Electronics"/>
    <n v="2"/>
    <n v="30"/>
    <n v="60"/>
    <s v="04/10/2023"/>
    <x v="2"/>
  </r>
  <r>
    <n v="248"/>
    <d v="2023-03-09T00:00:00"/>
    <x v="247"/>
    <x v="0"/>
    <n v="26"/>
    <s v="Clothing"/>
    <n v="3"/>
    <n v="300"/>
    <n v="900"/>
    <s v="09/03/2023"/>
    <x v="0"/>
  </r>
  <r>
    <n v="249"/>
    <d v="2023-10-20T00:00:00"/>
    <x v="248"/>
    <x v="0"/>
    <n v="20"/>
    <s v="Clothing"/>
    <n v="1"/>
    <n v="50"/>
    <n v="50"/>
    <s v="20/10/2023"/>
    <x v="4"/>
  </r>
  <r>
    <n v="250"/>
    <d v="2023-10-23T00:00:00"/>
    <x v="249"/>
    <x v="0"/>
    <n v="48"/>
    <s v="Electronics"/>
    <n v="1"/>
    <n v="50"/>
    <n v="50"/>
    <s v="23/10/2023"/>
    <x v="1"/>
  </r>
  <r>
    <n v="251"/>
    <d v="2023-08-31T00:00:00"/>
    <x v="250"/>
    <x v="1"/>
    <n v="57"/>
    <s v="Beauty"/>
    <n v="4"/>
    <n v="50"/>
    <n v="200"/>
    <s v="31/08/2023"/>
    <x v="1"/>
  </r>
  <r>
    <n v="252"/>
    <d v="2023-05-05T00:00:00"/>
    <x v="251"/>
    <x v="0"/>
    <n v="54"/>
    <s v="Electronics"/>
    <n v="1"/>
    <n v="300"/>
    <n v="300"/>
    <s v="05/05/2023"/>
    <x v="1"/>
  </r>
  <r>
    <n v="253"/>
    <d v="2023-08-31T00:00:00"/>
    <x v="252"/>
    <x v="1"/>
    <n v="53"/>
    <s v="Clothing"/>
    <n v="4"/>
    <n v="500"/>
    <n v="2000"/>
    <s v="31/08/2023"/>
    <x v="1"/>
  </r>
  <r>
    <n v="254"/>
    <d v="2023-07-28T00:00:00"/>
    <x v="253"/>
    <x v="0"/>
    <n v="41"/>
    <s v="Electronics"/>
    <n v="1"/>
    <n v="500"/>
    <n v="500"/>
    <s v="28/07/2023"/>
    <x v="2"/>
  </r>
  <r>
    <n v="255"/>
    <d v="2023-04-08T00:00:00"/>
    <x v="254"/>
    <x v="0"/>
    <n v="48"/>
    <s v="Clothing"/>
    <n v="1"/>
    <n v="30"/>
    <n v="30"/>
    <s v="08/04/2023"/>
    <x v="1"/>
  </r>
  <r>
    <n v="256"/>
    <d v="2023-02-18T00:00:00"/>
    <x v="255"/>
    <x v="0"/>
    <n v="23"/>
    <s v="Clothing"/>
    <n v="2"/>
    <n v="500"/>
    <n v="1000"/>
    <s v="18/02/2023"/>
    <x v="4"/>
  </r>
  <r>
    <n v="257"/>
    <d v="2023-02-19T00:00:00"/>
    <x v="256"/>
    <x v="0"/>
    <n v="19"/>
    <s v="Beauty"/>
    <n v="4"/>
    <n v="500"/>
    <n v="2000"/>
    <s v="19/02/2023"/>
    <x v="4"/>
  </r>
  <r>
    <n v="258"/>
    <d v="2023-12-04T00:00:00"/>
    <x v="257"/>
    <x v="1"/>
    <n v="37"/>
    <s v="Clothing"/>
    <n v="1"/>
    <n v="50"/>
    <n v="50"/>
    <s v="04/12/2023"/>
    <x v="2"/>
  </r>
  <r>
    <n v="259"/>
    <d v="2023-08-09T00:00:00"/>
    <x v="258"/>
    <x v="1"/>
    <n v="45"/>
    <s v="Clothing"/>
    <n v="4"/>
    <n v="50"/>
    <n v="200"/>
    <s v="09/08/2023"/>
    <x v="2"/>
  </r>
  <r>
    <n v="260"/>
    <d v="2023-07-01T00:00:00"/>
    <x v="259"/>
    <x v="0"/>
    <n v="28"/>
    <s v="Beauty"/>
    <n v="2"/>
    <n v="30"/>
    <n v="60"/>
    <s v="01/07/2023"/>
    <x v="0"/>
  </r>
  <r>
    <n v="261"/>
    <d v="2023-08-05T00:00:00"/>
    <x v="260"/>
    <x v="0"/>
    <n v="21"/>
    <s v="Clothing"/>
    <n v="2"/>
    <n v="25"/>
    <n v="50"/>
    <s v="05/08/2023"/>
    <x v="4"/>
  </r>
  <r>
    <n v="262"/>
    <d v="2023-07-30T00:00:00"/>
    <x v="261"/>
    <x v="1"/>
    <n v="32"/>
    <s v="Beauty"/>
    <n v="4"/>
    <n v="30"/>
    <n v="120"/>
    <s v="30/07/2023"/>
    <x v="0"/>
  </r>
  <r>
    <n v="263"/>
    <d v="2023-08-28T00:00:00"/>
    <x v="262"/>
    <x v="0"/>
    <n v="23"/>
    <s v="Beauty"/>
    <n v="2"/>
    <n v="30"/>
    <n v="60"/>
    <s v="28/08/2023"/>
    <x v="4"/>
  </r>
  <r>
    <n v="264"/>
    <d v="2023-01-28T00:00:00"/>
    <x v="263"/>
    <x v="0"/>
    <n v="47"/>
    <s v="Clothing"/>
    <n v="3"/>
    <n v="300"/>
    <n v="900"/>
    <s v="28/01/2023"/>
    <x v="1"/>
  </r>
  <r>
    <n v="265"/>
    <d v="2023-12-11T00:00:00"/>
    <x v="264"/>
    <x v="0"/>
    <n v="55"/>
    <s v="Clothing"/>
    <n v="3"/>
    <n v="300"/>
    <n v="900"/>
    <s v="11/12/2023"/>
    <x v="1"/>
  </r>
  <r>
    <n v="266"/>
    <d v="2023-12-01T00:00:00"/>
    <x v="265"/>
    <x v="1"/>
    <n v="19"/>
    <s v="Electronics"/>
    <n v="2"/>
    <n v="30"/>
    <n v="60"/>
    <s v="01/12/2023"/>
    <x v="4"/>
  </r>
  <r>
    <n v="267"/>
    <d v="2023-11-27T00:00:00"/>
    <x v="266"/>
    <x v="1"/>
    <n v="32"/>
    <s v="Beauty"/>
    <n v="3"/>
    <n v="30"/>
    <n v="90"/>
    <s v="27/11/2023"/>
    <x v="0"/>
  </r>
  <r>
    <n v="268"/>
    <d v="2023-02-20T00:00:00"/>
    <x v="267"/>
    <x v="1"/>
    <n v="28"/>
    <s v="Electronics"/>
    <n v="1"/>
    <n v="30"/>
    <n v="30"/>
    <s v="20/02/2023"/>
    <x v="0"/>
  </r>
  <r>
    <n v="269"/>
    <d v="2023-02-01T00:00:00"/>
    <x v="268"/>
    <x v="0"/>
    <n v="25"/>
    <s v="Clothing"/>
    <n v="4"/>
    <n v="500"/>
    <n v="2000"/>
    <s v="01/02/2023"/>
    <x v="4"/>
  </r>
  <r>
    <n v="270"/>
    <d v="2023-07-26T00:00:00"/>
    <x v="269"/>
    <x v="0"/>
    <n v="43"/>
    <s v="Electronics"/>
    <n v="1"/>
    <n v="300"/>
    <n v="300"/>
    <s v="26/07/2023"/>
    <x v="2"/>
  </r>
  <r>
    <n v="271"/>
    <d v="2023-06-23T00:00:00"/>
    <x v="270"/>
    <x v="1"/>
    <n v="62"/>
    <s v="Beauty"/>
    <n v="4"/>
    <n v="30"/>
    <n v="120"/>
    <s v="23/06/2023"/>
    <x v="3"/>
  </r>
  <r>
    <n v="272"/>
    <d v="2023-02-25T00:00:00"/>
    <x v="271"/>
    <x v="1"/>
    <n v="61"/>
    <s v="Electronics"/>
    <n v="2"/>
    <n v="50"/>
    <n v="100"/>
    <s v="25/02/2023"/>
    <x v="3"/>
  </r>
  <r>
    <n v="273"/>
    <d v="2023-05-08T00:00:00"/>
    <x v="272"/>
    <x v="1"/>
    <n v="22"/>
    <s v="Beauty"/>
    <n v="1"/>
    <n v="50"/>
    <n v="50"/>
    <s v="08/05/2023"/>
    <x v="4"/>
  </r>
  <r>
    <n v="274"/>
    <d v="2023-04-09T00:00:00"/>
    <x v="273"/>
    <x v="1"/>
    <n v="23"/>
    <s v="Clothing"/>
    <n v="2"/>
    <n v="500"/>
    <n v="1000"/>
    <s v="09/04/2023"/>
    <x v="4"/>
  </r>
  <r>
    <n v="275"/>
    <d v="2023-04-08T00:00:00"/>
    <x v="274"/>
    <x v="0"/>
    <n v="43"/>
    <s v="Clothing"/>
    <n v="2"/>
    <n v="500"/>
    <n v="1000"/>
    <s v="08/04/2023"/>
    <x v="2"/>
  </r>
  <r>
    <n v="276"/>
    <d v="2023-10-02T00:00:00"/>
    <x v="275"/>
    <x v="1"/>
    <n v="21"/>
    <s v="Beauty"/>
    <n v="4"/>
    <n v="25"/>
    <n v="100"/>
    <s v="02/10/2023"/>
    <x v="4"/>
  </r>
  <r>
    <n v="277"/>
    <d v="2023-08-18T00:00:00"/>
    <x v="276"/>
    <x v="0"/>
    <n v="36"/>
    <s v="Clothing"/>
    <n v="4"/>
    <n v="25"/>
    <n v="100"/>
    <s v="18/08/2023"/>
    <x v="2"/>
  </r>
  <r>
    <n v="278"/>
    <d v="2023-03-13T00:00:00"/>
    <x v="277"/>
    <x v="1"/>
    <n v="37"/>
    <s v="Clothing"/>
    <n v="4"/>
    <n v="25"/>
    <n v="100"/>
    <s v="13/03/2023"/>
    <x v="2"/>
  </r>
  <r>
    <n v="279"/>
    <d v="2023-08-05T00:00:00"/>
    <x v="278"/>
    <x v="0"/>
    <n v="50"/>
    <s v="Clothing"/>
    <n v="1"/>
    <n v="500"/>
    <n v="500"/>
    <s v="05/08/2023"/>
    <x v="1"/>
  </r>
  <r>
    <n v="280"/>
    <d v="2023-04-04T00:00:00"/>
    <x v="279"/>
    <x v="1"/>
    <n v="37"/>
    <s v="Clothing"/>
    <n v="3"/>
    <n v="500"/>
    <n v="1500"/>
    <s v="04/04/2023"/>
    <x v="2"/>
  </r>
  <r>
    <n v="281"/>
    <d v="2023-05-23T00:00:00"/>
    <x v="280"/>
    <x v="1"/>
    <n v="29"/>
    <s v="Beauty"/>
    <n v="4"/>
    <n v="500"/>
    <n v="2000"/>
    <s v="23/05/2023"/>
    <x v="0"/>
  </r>
  <r>
    <n v="282"/>
    <d v="2023-08-25T00:00:00"/>
    <x v="281"/>
    <x v="1"/>
    <n v="64"/>
    <s v="Electronics"/>
    <n v="4"/>
    <n v="50"/>
    <n v="200"/>
    <s v="25/08/2023"/>
    <x v="3"/>
  </r>
  <r>
    <n v="283"/>
    <d v="2023-05-08T00:00:00"/>
    <x v="282"/>
    <x v="1"/>
    <n v="18"/>
    <s v="Electronics"/>
    <n v="1"/>
    <n v="500"/>
    <n v="500"/>
    <s v="08/05/2023"/>
    <x v="4"/>
  </r>
  <r>
    <n v="284"/>
    <d v="2023-02-08T00:00:00"/>
    <x v="283"/>
    <x v="0"/>
    <n v="43"/>
    <s v="Clothing"/>
    <n v="4"/>
    <n v="50"/>
    <n v="200"/>
    <s v="08/02/2023"/>
    <x v="2"/>
  </r>
  <r>
    <n v="285"/>
    <d v="2023-08-15T00:00:00"/>
    <x v="284"/>
    <x v="1"/>
    <n v="31"/>
    <s v="Electronics"/>
    <n v="1"/>
    <n v="25"/>
    <n v="25"/>
    <s v="15/08/2023"/>
    <x v="0"/>
  </r>
  <r>
    <n v="286"/>
    <d v="2023-10-09T00:00:00"/>
    <x v="285"/>
    <x v="0"/>
    <n v="55"/>
    <s v="Electronics"/>
    <n v="2"/>
    <n v="25"/>
    <n v="50"/>
    <s v="09/10/2023"/>
    <x v="1"/>
  </r>
  <r>
    <n v="287"/>
    <d v="2023-02-20T00:00:00"/>
    <x v="286"/>
    <x v="0"/>
    <n v="54"/>
    <s v="Clothing"/>
    <n v="4"/>
    <n v="25"/>
    <n v="100"/>
    <s v="20/02/2023"/>
    <x v="1"/>
  </r>
  <r>
    <n v="288"/>
    <d v="2023-01-26T00:00:00"/>
    <x v="287"/>
    <x v="0"/>
    <n v="28"/>
    <s v="Clothing"/>
    <n v="4"/>
    <n v="30"/>
    <n v="120"/>
    <s v="26/01/2023"/>
    <x v="0"/>
  </r>
  <r>
    <n v="289"/>
    <d v="2023-11-30T00:00:00"/>
    <x v="288"/>
    <x v="0"/>
    <n v="53"/>
    <s v="Electronics"/>
    <n v="2"/>
    <n v="30"/>
    <n v="60"/>
    <s v="30/11/2023"/>
    <x v="1"/>
  </r>
  <r>
    <n v="290"/>
    <d v="2023-10-04T00:00:00"/>
    <x v="289"/>
    <x v="1"/>
    <n v="30"/>
    <s v="Beauty"/>
    <n v="2"/>
    <n v="300"/>
    <n v="600"/>
    <s v="04/10/2023"/>
    <x v="0"/>
  </r>
  <r>
    <n v="291"/>
    <d v="2023-01-08T00:00:00"/>
    <x v="290"/>
    <x v="0"/>
    <n v="60"/>
    <s v="Clothing"/>
    <n v="2"/>
    <n v="300"/>
    <n v="600"/>
    <s v="08/01/2023"/>
    <x v="1"/>
  </r>
  <r>
    <n v="292"/>
    <d v="2023-02-17T00:00:00"/>
    <x v="291"/>
    <x v="0"/>
    <n v="20"/>
    <s v="Beauty"/>
    <n v="4"/>
    <n v="300"/>
    <n v="1200"/>
    <s v="17/02/2023"/>
    <x v="4"/>
  </r>
  <r>
    <n v="293"/>
    <d v="2023-05-02T00:00:00"/>
    <x v="292"/>
    <x v="0"/>
    <n v="50"/>
    <s v="Electronics"/>
    <n v="3"/>
    <n v="30"/>
    <n v="90"/>
    <s v="02/05/2023"/>
    <x v="1"/>
  </r>
  <r>
    <n v="294"/>
    <d v="2023-03-27T00:00:00"/>
    <x v="293"/>
    <x v="1"/>
    <n v="23"/>
    <s v="Clothing"/>
    <n v="3"/>
    <n v="30"/>
    <n v="90"/>
    <s v="27/03/2023"/>
    <x v="4"/>
  </r>
  <r>
    <n v="295"/>
    <d v="2023-07-28T00:00:00"/>
    <x v="294"/>
    <x v="1"/>
    <n v="27"/>
    <s v="Beauty"/>
    <n v="3"/>
    <n v="300"/>
    <n v="900"/>
    <s v="28/07/2023"/>
    <x v="0"/>
  </r>
  <r>
    <n v="296"/>
    <d v="2023-09-06T00:00:00"/>
    <x v="295"/>
    <x v="1"/>
    <n v="22"/>
    <s v="Clothing"/>
    <n v="4"/>
    <n v="300"/>
    <n v="1200"/>
    <s v="06/09/2023"/>
    <x v="4"/>
  </r>
  <r>
    <n v="297"/>
    <d v="2023-09-04T00:00:00"/>
    <x v="296"/>
    <x v="1"/>
    <n v="40"/>
    <s v="Electronics"/>
    <n v="2"/>
    <n v="500"/>
    <n v="1000"/>
    <s v="04/09/2023"/>
    <x v="2"/>
  </r>
  <r>
    <n v="298"/>
    <d v="2023-04-20T00:00:00"/>
    <x v="297"/>
    <x v="0"/>
    <n v="27"/>
    <s v="Beauty"/>
    <n v="4"/>
    <n v="300"/>
    <n v="1200"/>
    <s v="20/04/2023"/>
    <x v="0"/>
  </r>
  <r>
    <n v="299"/>
    <d v="2023-07-25T00:00:00"/>
    <x v="298"/>
    <x v="0"/>
    <n v="61"/>
    <s v="Electronics"/>
    <n v="2"/>
    <n v="500"/>
    <n v="1000"/>
    <s v="25/07/2023"/>
    <x v="3"/>
  </r>
  <r>
    <n v="300"/>
    <d v="2023-01-31T00:00:00"/>
    <x v="299"/>
    <x v="1"/>
    <n v="19"/>
    <s v="Electronics"/>
    <n v="4"/>
    <n v="50"/>
    <n v="200"/>
    <s v="31/01/2023"/>
    <x v="4"/>
  </r>
  <r>
    <n v="301"/>
    <d v="2023-03-26T00:00:00"/>
    <x v="300"/>
    <x v="0"/>
    <n v="30"/>
    <s v="Clothing"/>
    <n v="4"/>
    <n v="30"/>
    <n v="120"/>
    <s v="26/03/2023"/>
    <x v="0"/>
  </r>
  <r>
    <n v="302"/>
    <d v="2023-07-14T00:00:00"/>
    <x v="301"/>
    <x v="0"/>
    <n v="57"/>
    <s v="Beauty"/>
    <n v="2"/>
    <n v="300"/>
    <n v="600"/>
    <s v="14/07/2023"/>
    <x v="1"/>
  </r>
  <r>
    <n v="303"/>
    <d v="2023-01-02T00:00:00"/>
    <x v="302"/>
    <x v="0"/>
    <n v="19"/>
    <s v="Electronics"/>
    <n v="3"/>
    <n v="30"/>
    <n v="90"/>
    <s v="02/01/2023"/>
    <x v="4"/>
  </r>
  <r>
    <n v="304"/>
    <d v="2023-07-19T00:00:00"/>
    <x v="303"/>
    <x v="1"/>
    <n v="37"/>
    <s v="Electronics"/>
    <n v="2"/>
    <n v="30"/>
    <n v="60"/>
    <s v="19/07/2023"/>
    <x v="2"/>
  </r>
  <r>
    <n v="305"/>
    <d v="2023-05-16T00:00:00"/>
    <x v="304"/>
    <x v="1"/>
    <n v="18"/>
    <s v="Beauty"/>
    <n v="1"/>
    <n v="30"/>
    <n v="30"/>
    <s v="16/05/2023"/>
    <x v="4"/>
  </r>
  <r>
    <n v="306"/>
    <d v="2023-08-21T00:00:00"/>
    <x v="305"/>
    <x v="0"/>
    <n v="54"/>
    <s v="Electronics"/>
    <n v="1"/>
    <n v="50"/>
    <n v="50"/>
    <s v="21/08/2023"/>
    <x v="1"/>
  </r>
  <r>
    <n v="307"/>
    <d v="2023-05-27T00:00:00"/>
    <x v="306"/>
    <x v="1"/>
    <n v="26"/>
    <s v="Electronics"/>
    <n v="2"/>
    <n v="25"/>
    <n v="50"/>
    <s v="27/05/2023"/>
    <x v="0"/>
  </r>
  <r>
    <n v="308"/>
    <d v="2023-08-05T00:00:00"/>
    <x v="307"/>
    <x v="1"/>
    <n v="34"/>
    <s v="Beauty"/>
    <n v="4"/>
    <n v="300"/>
    <n v="1200"/>
    <s v="05/08/2023"/>
    <x v="0"/>
  </r>
  <r>
    <n v="309"/>
    <d v="2023-12-23T00:00:00"/>
    <x v="308"/>
    <x v="1"/>
    <n v="26"/>
    <s v="Beauty"/>
    <n v="1"/>
    <n v="25"/>
    <n v="25"/>
    <s v="23/12/2023"/>
    <x v="0"/>
  </r>
  <r>
    <n v="310"/>
    <d v="2023-10-12T00:00:00"/>
    <x v="309"/>
    <x v="1"/>
    <n v="28"/>
    <s v="Beauty"/>
    <n v="1"/>
    <n v="25"/>
    <n v="25"/>
    <s v="12/10/2023"/>
    <x v="0"/>
  </r>
  <r>
    <n v="311"/>
    <d v="2023-12-05T00:00:00"/>
    <x v="310"/>
    <x v="1"/>
    <n v="32"/>
    <s v="Beauty"/>
    <n v="4"/>
    <n v="25"/>
    <n v="100"/>
    <s v="05/12/2023"/>
    <x v="0"/>
  </r>
  <r>
    <n v="312"/>
    <d v="2023-09-07T00:00:00"/>
    <x v="311"/>
    <x v="0"/>
    <n v="41"/>
    <s v="Clothing"/>
    <n v="4"/>
    <n v="30"/>
    <n v="120"/>
    <s v="07/09/2023"/>
    <x v="2"/>
  </r>
  <r>
    <n v="313"/>
    <d v="2023-03-21T00:00:00"/>
    <x v="312"/>
    <x v="1"/>
    <n v="55"/>
    <s v="Beauty"/>
    <n v="3"/>
    <n v="500"/>
    <n v="1500"/>
    <s v="21/03/2023"/>
    <x v="1"/>
  </r>
  <r>
    <n v="314"/>
    <d v="2023-04-08T00:00:00"/>
    <x v="313"/>
    <x v="0"/>
    <n v="52"/>
    <s v="Clothing"/>
    <n v="4"/>
    <n v="30"/>
    <n v="120"/>
    <s v="08/04/2023"/>
    <x v="1"/>
  </r>
  <r>
    <n v="315"/>
    <d v="2023-06-01T00:00:00"/>
    <x v="314"/>
    <x v="0"/>
    <n v="47"/>
    <s v="Clothing"/>
    <n v="2"/>
    <n v="30"/>
    <n v="60"/>
    <s v="01/06/2023"/>
    <x v="1"/>
  </r>
  <r>
    <n v="316"/>
    <d v="2023-04-22T00:00:00"/>
    <x v="315"/>
    <x v="1"/>
    <n v="48"/>
    <s v="Clothing"/>
    <n v="2"/>
    <n v="25"/>
    <n v="50"/>
    <s v="22/04/2023"/>
    <x v="1"/>
  </r>
  <r>
    <n v="317"/>
    <d v="2023-01-30T00:00:00"/>
    <x v="316"/>
    <x v="0"/>
    <n v="22"/>
    <s v="Electronics"/>
    <n v="3"/>
    <n v="30"/>
    <n v="90"/>
    <s v="30/01/2023"/>
    <x v="4"/>
  </r>
  <r>
    <n v="318"/>
    <d v="2023-10-24T00:00:00"/>
    <x v="317"/>
    <x v="0"/>
    <n v="61"/>
    <s v="Clothing"/>
    <n v="1"/>
    <n v="25"/>
    <n v="25"/>
    <s v="24/10/2023"/>
    <x v="3"/>
  </r>
  <r>
    <n v="319"/>
    <d v="2023-10-05T00:00:00"/>
    <x v="318"/>
    <x v="0"/>
    <n v="31"/>
    <s v="Clothing"/>
    <n v="1"/>
    <n v="500"/>
    <n v="500"/>
    <s v="05/10/2023"/>
    <x v="0"/>
  </r>
  <r>
    <n v="320"/>
    <d v="2023-02-01T00:00:00"/>
    <x v="319"/>
    <x v="1"/>
    <n v="28"/>
    <s v="Electronics"/>
    <n v="4"/>
    <n v="300"/>
    <n v="1200"/>
    <s v="01/02/2023"/>
    <x v="0"/>
  </r>
  <r>
    <n v="321"/>
    <d v="2023-06-10T00:00:00"/>
    <x v="320"/>
    <x v="1"/>
    <n v="26"/>
    <s v="Electronics"/>
    <n v="2"/>
    <n v="25"/>
    <n v="50"/>
    <s v="10/06/2023"/>
    <x v="0"/>
  </r>
  <r>
    <n v="322"/>
    <d v="2023-01-30T00:00:00"/>
    <x v="321"/>
    <x v="0"/>
    <n v="51"/>
    <s v="Electronics"/>
    <n v="1"/>
    <n v="500"/>
    <n v="500"/>
    <s v="30/01/2023"/>
    <x v="1"/>
  </r>
  <r>
    <n v="323"/>
    <d v="2023-01-26T00:00:00"/>
    <x v="322"/>
    <x v="1"/>
    <n v="29"/>
    <s v="Beauty"/>
    <n v="3"/>
    <n v="300"/>
    <n v="900"/>
    <s v="26/01/2023"/>
    <x v="0"/>
  </r>
  <r>
    <n v="324"/>
    <d v="2023-10-27T00:00:00"/>
    <x v="323"/>
    <x v="1"/>
    <n v="52"/>
    <s v="Electronics"/>
    <n v="3"/>
    <n v="50"/>
    <n v="150"/>
    <s v="27/10/2023"/>
    <x v="1"/>
  </r>
  <r>
    <n v="325"/>
    <d v="2023-09-02T00:00:00"/>
    <x v="324"/>
    <x v="1"/>
    <n v="52"/>
    <s v="Electronics"/>
    <n v="2"/>
    <n v="25"/>
    <n v="50"/>
    <s v="02/09/2023"/>
    <x v="1"/>
  </r>
  <r>
    <n v="326"/>
    <d v="2023-09-15T00:00:00"/>
    <x v="325"/>
    <x v="1"/>
    <n v="18"/>
    <s v="Clothing"/>
    <n v="3"/>
    <n v="25"/>
    <n v="75"/>
    <s v="15/09/2023"/>
    <x v="4"/>
  </r>
  <r>
    <n v="327"/>
    <d v="2023-09-29T00:00:00"/>
    <x v="326"/>
    <x v="0"/>
    <n v="57"/>
    <s v="Electronics"/>
    <n v="3"/>
    <n v="50"/>
    <n v="150"/>
    <s v="29/09/2023"/>
    <x v="1"/>
  </r>
  <r>
    <n v="328"/>
    <d v="2023-03-22T00:00:00"/>
    <x v="327"/>
    <x v="0"/>
    <n v="39"/>
    <s v="Beauty"/>
    <n v="2"/>
    <n v="50"/>
    <n v="100"/>
    <s v="22/03/2023"/>
    <x v="2"/>
  </r>
  <r>
    <n v="329"/>
    <d v="2023-01-30T00:00:00"/>
    <x v="328"/>
    <x v="1"/>
    <n v="46"/>
    <s v="Electronics"/>
    <n v="4"/>
    <n v="25"/>
    <n v="100"/>
    <s v="30/01/2023"/>
    <x v="1"/>
  </r>
  <r>
    <n v="330"/>
    <d v="2023-09-18T00:00:00"/>
    <x v="329"/>
    <x v="1"/>
    <n v="25"/>
    <s v="Beauty"/>
    <n v="4"/>
    <n v="50"/>
    <n v="200"/>
    <s v="18/09/2023"/>
    <x v="4"/>
  </r>
  <r>
    <n v="331"/>
    <d v="2023-02-11T00:00:00"/>
    <x v="330"/>
    <x v="0"/>
    <n v="28"/>
    <s v="Electronics"/>
    <n v="3"/>
    <n v="30"/>
    <n v="90"/>
    <s v="11/02/2023"/>
    <x v="0"/>
  </r>
  <r>
    <n v="332"/>
    <d v="2023-04-06T00:00:00"/>
    <x v="331"/>
    <x v="0"/>
    <n v="58"/>
    <s v="Electronics"/>
    <n v="4"/>
    <n v="300"/>
    <n v="1200"/>
    <s v="06/04/2023"/>
    <x v="1"/>
  </r>
  <r>
    <n v="333"/>
    <d v="2023-02-05T00:00:00"/>
    <x v="332"/>
    <x v="1"/>
    <n v="54"/>
    <s v="Electronics"/>
    <n v="4"/>
    <n v="300"/>
    <n v="1200"/>
    <s v="05/02/2023"/>
    <x v="1"/>
  </r>
  <r>
    <n v="334"/>
    <d v="2023-11-01T00:00:00"/>
    <x v="333"/>
    <x v="0"/>
    <n v="31"/>
    <s v="Electronics"/>
    <n v="3"/>
    <n v="300"/>
    <n v="900"/>
    <s v="01/11/2023"/>
    <x v="0"/>
  </r>
  <r>
    <n v="335"/>
    <d v="2023-02-04T00:00:00"/>
    <x v="334"/>
    <x v="1"/>
    <n v="47"/>
    <s v="Beauty"/>
    <n v="4"/>
    <n v="30"/>
    <n v="120"/>
    <s v="04/02/2023"/>
    <x v="1"/>
  </r>
  <r>
    <n v="336"/>
    <d v="2023-12-12T00:00:00"/>
    <x v="335"/>
    <x v="1"/>
    <n v="52"/>
    <s v="Beauty"/>
    <n v="3"/>
    <n v="50"/>
    <n v="150"/>
    <s v="12/12/2023"/>
    <x v="1"/>
  </r>
  <r>
    <n v="337"/>
    <d v="2023-05-01T00:00:00"/>
    <x v="336"/>
    <x v="0"/>
    <n v="38"/>
    <s v="Clothing"/>
    <n v="1"/>
    <n v="500"/>
    <n v="500"/>
    <s v="01/05/2023"/>
    <x v="2"/>
  </r>
  <r>
    <n v="338"/>
    <d v="2023-07-26T00:00:00"/>
    <x v="337"/>
    <x v="0"/>
    <n v="54"/>
    <s v="Beauty"/>
    <n v="2"/>
    <n v="50"/>
    <n v="100"/>
    <s v="26/07/2023"/>
    <x v="1"/>
  </r>
  <r>
    <n v="339"/>
    <d v="2023-03-03T00:00:00"/>
    <x v="338"/>
    <x v="1"/>
    <n v="22"/>
    <s v="Electronics"/>
    <n v="2"/>
    <n v="25"/>
    <n v="50"/>
    <s v="03/03/2023"/>
    <x v="4"/>
  </r>
  <r>
    <n v="340"/>
    <d v="2023-10-19T00:00:00"/>
    <x v="339"/>
    <x v="1"/>
    <n v="36"/>
    <s v="Clothing"/>
    <n v="4"/>
    <n v="300"/>
    <n v="1200"/>
    <s v="19/10/2023"/>
    <x v="2"/>
  </r>
  <r>
    <n v="341"/>
    <d v="2023-05-07T00:00:00"/>
    <x v="340"/>
    <x v="0"/>
    <n v="31"/>
    <s v="Clothing"/>
    <n v="4"/>
    <n v="50"/>
    <n v="200"/>
    <s v="07/05/2023"/>
    <x v="0"/>
  </r>
  <r>
    <n v="342"/>
    <d v="2023-10-24T00:00:00"/>
    <x v="341"/>
    <x v="1"/>
    <n v="43"/>
    <s v="Clothing"/>
    <n v="4"/>
    <n v="500"/>
    <n v="2000"/>
    <s v="24/10/2023"/>
    <x v="2"/>
  </r>
  <r>
    <n v="343"/>
    <d v="2023-11-01T00:00:00"/>
    <x v="342"/>
    <x v="0"/>
    <n v="21"/>
    <s v="Electronics"/>
    <n v="2"/>
    <n v="25"/>
    <n v="50"/>
    <s v="01/11/2023"/>
    <x v="4"/>
  </r>
  <r>
    <n v="344"/>
    <d v="2023-01-21T00:00:00"/>
    <x v="343"/>
    <x v="1"/>
    <n v="42"/>
    <s v="Beauty"/>
    <n v="1"/>
    <n v="30"/>
    <n v="30"/>
    <s v="21/01/2023"/>
    <x v="2"/>
  </r>
  <r>
    <n v="345"/>
    <d v="2023-11-14T00:00:00"/>
    <x v="344"/>
    <x v="0"/>
    <n v="62"/>
    <s v="Electronics"/>
    <n v="1"/>
    <n v="30"/>
    <n v="30"/>
    <s v="14/11/2023"/>
    <x v="3"/>
  </r>
  <r>
    <n v="346"/>
    <d v="2023-02-11T00:00:00"/>
    <x v="345"/>
    <x v="0"/>
    <n v="59"/>
    <s v="Clothing"/>
    <n v="2"/>
    <n v="500"/>
    <n v="1000"/>
    <s v="11/02/2023"/>
    <x v="1"/>
  </r>
  <r>
    <n v="347"/>
    <d v="2023-08-03T00:00:00"/>
    <x v="346"/>
    <x v="0"/>
    <n v="42"/>
    <s v="Electronics"/>
    <n v="1"/>
    <n v="25"/>
    <n v="25"/>
    <s v="03/08/2023"/>
    <x v="2"/>
  </r>
  <r>
    <n v="348"/>
    <d v="2023-12-03T00:00:00"/>
    <x v="347"/>
    <x v="1"/>
    <n v="35"/>
    <s v="Electronics"/>
    <n v="2"/>
    <n v="300"/>
    <n v="600"/>
    <s v="03/12/2023"/>
    <x v="0"/>
  </r>
  <r>
    <n v="349"/>
    <d v="2023-10-26T00:00:00"/>
    <x v="348"/>
    <x v="1"/>
    <n v="57"/>
    <s v="Beauty"/>
    <n v="1"/>
    <n v="50"/>
    <n v="50"/>
    <s v="26/10/2023"/>
    <x v="1"/>
  </r>
  <r>
    <n v="350"/>
    <d v="2023-10-17T00:00:00"/>
    <x v="349"/>
    <x v="0"/>
    <n v="25"/>
    <s v="Beauty"/>
    <n v="3"/>
    <n v="25"/>
    <n v="75"/>
    <s v="17/10/2023"/>
    <x v="4"/>
  </r>
  <r>
    <n v="351"/>
    <d v="2023-09-25T00:00:00"/>
    <x v="350"/>
    <x v="1"/>
    <n v="56"/>
    <s v="Clothing"/>
    <n v="3"/>
    <n v="30"/>
    <n v="90"/>
    <s v="25/09/2023"/>
    <x v="1"/>
  </r>
  <r>
    <n v="352"/>
    <d v="2023-06-11T00:00:00"/>
    <x v="351"/>
    <x v="0"/>
    <n v="57"/>
    <s v="Electronics"/>
    <n v="2"/>
    <n v="500"/>
    <n v="1000"/>
    <s v="11/06/2023"/>
    <x v="1"/>
  </r>
  <r>
    <n v="353"/>
    <d v="2023-05-14T00:00:00"/>
    <x v="352"/>
    <x v="0"/>
    <n v="31"/>
    <s v="Electronics"/>
    <n v="1"/>
    <n v="500"/>
    <n v="500"/>
    <s v="14/05/2023"/>
    <x v="0"/>
  </r>
  <r>
    <n v="354"/>
    <d v="2023-04-15T00:00:00"/>
    <x v="353"/>
    <x v="1"/>
    <n v="49"/>
    <s v="Beauty"/>
    <n v="4"/>
    <n v="50"/>
    <n v="200"/>
    <s v="15/04/2023"/>
    <x v="1"/>
  </r>
  <r>
    <n v="355"/>
    <d v="2023-12-09T00:00:00"/>
    <x v="354"/>
    <x v="1"/>
    <n v="55"/>
    <s v="Electronics"/>
    <n v="1"/>
    <n v="500"/>
    <n v="500"/>
    <s v="09/12/2023"/>
    <x v="1"/>
  </r>
  <r>
    <n v="356"/>
    <d v="2023-06-10T00:00:00"/>
    <x v="355"/>
    <x v="0"/>
    <n v="50"/>
    <s v="Electronics"/>
    <n v="3"/>
    <n v="500"/>
    <n v="1500"/>
    <s v="10/06/2023"/>
    <x v="1"/>
  </r>
  <r>
    <n v="357"/>
    <d v="2023-05-03T00:00:00"/>
    <x v="356"/>
    <x v="1"/>
    <n v="40"/>
    <s v="Electronics"/>
    <n v="3"/>
    <n v="25"/>
    <n v="75"/>
    <s v="03/05/2023"/>
    <x v="2"/>
  </r>
  <r>
    <n v="358"/>
    <d v="2023-05-16T00:00:00"/>
    <x v="357"/>
    <x v="1"/>
    <n v="32"/>
    <s v="Beauty"/>
    <n v="1"/>
    <n v="300"/>
    <n v="300"/>
    <s v="16/05/2023"/>
    <x v="0"/>
  </r>
  <r>
    <n v="359"/>
    <d v="2023-07-22T00:00:00"/>
    <x v="358"/>
    <x v="0"/>
    <n v="50"/>
    <s v="Clothing"/>
    <n v="1"/>
    <n v="50"/>
    <n v="50"/>
    <s v="22/07/2023"/>
    <x v="1"/>
  </r>
  <r>
    <n v="360"/>
    <d v="2023-03-09T00:00:00"/>
    <x v="359"/>
    <x v="0"/>
    <n v="42"/>
    <s v="Clothing"/>
    <n v="4"/>
    <n v="25"/>
    <n v="100"/>
    <s v="09/03/2023"/>
    <x v="2"/>
  </r>
  <r>
    <n v="361"/>
    <d v="2023-12-10T00:00:00"/>
    <x v="360"/>
    <x v="1"/>
    <n v="34"/>
    <s v="Electronics"/>
    <n v="4"/>
    <n v="300"/>
    <n v="1200"/>
    <s v="10/12/2023"/>
    <x v="0"/>
  </r>
  <r>
    <n v="362"/>
    <d v="2023-11-27T00:00:00"/>
    <x v="361"/>
    <x v="0"/>
    <n v="50"/>
    <s v="Clothing"/>
    <n v="1"/>
    <n v="25"/>
    <n v="25"/>
    <s v="27/11/2023"/>
    <x v="1"/>
  </r>
  <r>
    <n v="363"/>
    <d v="2023-06-03T00:00:00"/>
    <x v="362"/>
    <x v="0"/>
    <n v="64"/>
    <s v="Beauty"/>
    <n v="1"/>
    <n v="25"/>
    <n v="25"/>
    <s v="03/06/2023"/>
    <x v="3"/>
  </r>
  <r>
    <n v="364"/>
    <d v="2023-08-23T00:00:00"/>
    <x v="363"/>
    <x v="1"/>
    <n v="19"/>
    <s v="Beauty"/>
    <n v="1"/>
    <n v="500"/>
    <n v="500"/>
    <s v="23/08/2023"/>
    <x v="4"/>
  </r>
  <r>
    <n v="365"/>
    <d v="2023-06-11T00:00:00"/>
    <x v="364"/>
    <x v="0"/>
    <n v="31"/>
    <s v="Clothing"/>
    <n v="1"/>
    <n v="300"/>
    <n v="300"/>
    <s v="11/06/2023"/>
    <x v="0"/>
  </r>
  <r>
    <n v="366"/>
    <d v="2023-02-07T00:00:00"/>
    <x v="365"/>
    <x v="0"/>
    <n v="57"/>
    <s v="Clothing"/>
    <n v="2"/>
    <n v="50"/>
    <n v="100"/>
    <s v="07/02/2023"/>
    <x v="1"/>
  </r>
  <r>
    <n v="367"/>
    <d v="2023-01-05T00:00:00"/>
    <x v="366"/>
    <x v="1"/>
    <n v="57"/>
    <s v="Electronics"/>
    <n v="1"/>
    <n v="50"/>
    <n v="50"/>
    <s v="05/01/2023"/>
    <x v="1"/>
  </r>
  <r>
    <n v="368"/>
    <d v="2023-08-23T00:00:00"/>
    <x v="367"/>
    <x v="1"/>
    <n v="56"/>
    <s v="Clothing"/>
    <n v="4"/>
    <n v="300"/>
    <n v="1200"/>
    <s v="23/08/2023"/>
    <x v="1"/>
  </r>
  <r>
    <n v="369"/>
    <d v="2023-11-15T00:00:00"/>
    <x v="368"/>
    <x v="0"/>
    <n v="23"/>
    <s v="Electronics"/>
    <n v="3"/>
    <n v="500"/>
    <n v="1500"/>
    <s v="15/11/2023"/>
    <x v="4"/>
  </r>
  <r>
    <n v="370"/>
    <d v="2023-10-16T00:00:00"/>
    <x v="369"/>
    <x v="0"/>
    <n v="23"/>
    <s v="Electronics"/>
    <n v="2"/>
    <n v="30"/>
    <n v="60"/>
    <s v="16/10/2023"/>
    <x v="4"/>
  </r>
  <r>
    <n v="371"/>
    <d v="2023-02-21T00:00:00"/>
    <x v="370"/>
    <x v="1"/>
    <n v="20"/>
    <s v="Beauty"/>
    <n v="1"/>
    <n v="25"/>
    <n v="25"/>
    <s v="21/02/2023"/>
    <x v="4"/>
  </r>
  <r>
    <n v="372"/>
    <d v="2023-02-07T00:00:00"/>
    <x v="371"/>
    <x v="1"/>
    <n v="24"/>
    <s v="Beauty"/>
    <n v="3"/>
    <n v="500"/>
    <n v="1500"/>
    <s v="07/02/2023"/>
    <x v="4"/>
  </r>
  <r>
    <n v="373"/>
    <d v="2023-10-03T00:00:00"/>
    <x v="372"/>
    <x v="1"/>
    <n v="25"/>
    <s v="Beauty"/>
    <n v="2"/>
    <n v="300"/>
    <n v="600"/>
    <s v="03/10/2023"/>
    <x v="4"/>
  </r>
  <r>
    <n v="374"/>
    <d v="2023-04-20T00:00:00"/>
    <x v="373"/>
    <x v="1"/>
    <n v="59"/>
    <s v="Beauty"/>
    <n v="3"/>
    <n v="25"/>
    <n v="75"/>
    <s v="20/04/2023"/>
    <x v="1"/>
  </r>
  <r>
    <n v="375"/>
    <d v="2023-09-17T00:00:00"/>
    <x v="374"/>
    <x v="0"/>
    <n v="32"/>
    <s v="Clothing"/>
    <n v="1"/>
    <n v="50"/>
    <n v="50"/>
    <s v="17/09/2023"/>
    <x v="0"/>
  </r>
  <r>
    <n v="376"/>
    <d v="2023-05-16T00:00:00"/>
    <x v="375"/>
    <x v="1"/>
    <n v="64"/>
    <s v="Beauty"/>
    <n v="1"/>
    <n v="30"/>
    <n v="30"/>
    <s v="16/05/2023"/>
    <x v="3"/>
  </r>
  <r>
    <n v="377"/>
    <d v="2023-03-09T00:00:00"/>
    <x v="376"/>
    <x v="1"/>
    <n v="46"/>
    <s v="Clothing"/>
    <n v="4"/>
    <n v="50"/>
    <n v="200"/>
    <s v="09/03/2023"/>
    <x v="1"/>
  </r>
  <r>
    <n v="378"/>
    <d v="2023-06-28T00:00:00"/>
    <x v="377"/>
    <x v="0"/>
    <n v="50"/>
    <s v="Beauty"/>
    <n v="1"/>
    <n v="300"/>
    <n v="300"/>
    <s v="28/06/2023"/>
    <x v="1"/>
  </r>
  <r>
    <n v="379"/>
    <d v="2023-02-05T00:00:00"/>
    <x v="378"/>
    <x v="1"/>
    <n v="47"/>
    <s v="Clothing"/>
    <n v="1"/>
    <n v="25"/>
    <n v="25"/>
    <s v="05/02/2023"/>
    <x v="1"/>
  </r>
  <r>
    <n v="380"/>
    <d v="2023-05-06T00:00:00"/>
    <x v="379"/>
    <x v="0"/>
    <n v="56"/>
    <s v="Electronics"/>
    <n v="2"/>
    <n v="300"/>
    <n v="600"/>
    <s v="06/05/2023"/>
    <x v="1"/>
  </r>
  <r>
    <n v="381"/>
    <d v="2023-07-09T00:00:00"/>
    <x v="380"/>
    <x v="1"/>
    <n v="44"/>
    <s v="Clothing"/>
    <n v="4"/>
    <n v="25"/>
    <n v="100"/>
    <s v="09/07/2023"/>
    <x v="2"/>
  </r>
  <r>
    <n v="382"/>
    <d v="2023-05-26T00:00:00"/>
    <x v="381"/>
    <x v="1"/>
    <n v="53"/>
    <s v="Clothing"/>
    <n v="2"/>
    <n v="500"/>
    <n v="1000"/>
    <s v="26/05/2023"/>
    <x v="1"/>
  </r>
  <r>
    <n v="383"/>
    <d v="2023-03-22T00:00:00"/>
    <x v="382"/>
    <x v="1"/>
    <n v="46"/>
    <s v="Beauty"/>
    <n v="3"/>
    <n v="30"/>
    <n v="90"/>
    <s v="22/03/2023"/>
    <x v="1"/>
  </r>
  <r>
    <n v="384"/>
    <d v="2023-08-13T00:00:00"/>
    <x v="383"/>
    <x v="0"/>
    <n v="55"/>
    <s v="Clothing"/>
    <n v="1"/>
    <n v="500"/>
    <n v="500"/>
    <s v="13/08/2023"/>
    <x v="1"/>
  </r>
  <r>
    <n v="385"/>
    <d v="2023-10-06T00:00:00"/>
    <x v="384"/>
    <x v="0"/>
    <n v="50"/>
    <s v="Electronics"/>
    <n v="3"/>
    <n v="500"/>
    <n v="1500"/>
    <s v="06/10/2023"/>
    <x v="1"/>
  </r>
  <r>
    <n v="386"/>
    <d v="2023-12-27T00:00:00"/>
    <x v="385"/>
    <x v="1"/>
    <n v="54"/>
    <s v="Electronics"/>
    <n v="2"/>
    <n v="300"/>
    <n v="600"/>
    <s v="27/12/2023"/>
    <x v="1"/>
  </r>
  <r>
    <n v="387"/>
    <d v="2023-06-04T00:00:00"/>
    <x v="386"/>
    <x v="0"/>
    <n v="44"/>
    <s v="Beauty"/>
    <n v="1"/>
    <n v="30"/>
    <n v="30"/>
    <s v="04/06/2023"/>
    <x v="2"/>
  </r>
  <r>
    <n v="388"/>
    <d v="2023-11-10T00:00:00"/>
    <x v="387"/>
    <x v="0"/>
    <n v="50"/>
    <s v="Electronics"/>
    <n v="1"/>
    <n v="25"/>
    <n v="25"/>
    <s v="10/11/2023"/>
    <x v="1"/>
  </r>
  <r>
    <n v="389"/>
    <d v="2023-12-01T00:00:00"/>
    <x v="388"/>
    <x v="0"/>
    <n v="21"/>
    <s v="Clothing"/>
    <n v="2"/>
    <n v="25"/>
    <n v="50"/>
    <s v="01/12/2023"/>
    <x v="4"/>
  </r>
  <r>
    <n v="390"/>
    <d v="2023-09-28T00:00:00"/>
    <x v="389"/>
    <x v="0"/>
    <n v="39"/>
    <s v="Electronics"/>
    <n v="2"/>
    <n v="50"/>
    <n v="100"/>
    <s v="28/09/2023"/>
    <x v="2"/>
  </r>
  <r>
    <n v="391"/>
    <d v="2023-01-05T00:00:00"/>
    <x v="390"/>
    <x v="0"/>
    <n v="19"/>
    <s v="Beauty"/>
    <n v="2"/>
    <n v="25"/>
    <n v="50"/>
    <s v="05/01/2023"/>
    <x v="4"/>
  </r>
  <r>
    <n v="392"/>
    <d v="2023-12-08T00:00:00"/>
    <x v="391"/>
    <x v="0"/>
    <n v="27"/>
    <s v="Clothing"/>
    <n v="2"/>
    <n v="300"/>
    <n v="600"/>
    <s v="08/12/2023"/>
    <x v="0"/>
  </r>
  <r>
    <n v="393"/>
    <d v="2023-10-11T00:00:00"/>
    <x v="392"/>
    <x v="1"/>
    <n v="22"/>
    <s v="Beauty"/>
    <n v="2"/>
    <n v="500"/>
    <n v="1000"/>
    <s v="11/10/2023"/>
    <x v="4"/>
  </r>
  <r>
    <n v="394"/>
    <d v="2023-06-03T00:00:00"/>
    <x v="393"/>
    <x v="1"/>
    <n v="27"/>
    <s v="Clothing"/>
    <n v="1"/>
    <n v="500"/>
    <n v="500"/>
    <s v="03/06/2023"/>
    <x v="0"/>
  </r>
  <r>
    <n v="395"/>
    <d v="2023-12-06T00:00:00"/>
    <x v="394"/>
    <x v="0"/>
    <n v="50"/>
    <s v="Electronics"/>
    <n v="2"/>
    <n v="500"/>
    <n v="1000"/>
    <s v="06/12/2023"/>
    <x v="1"/>
  </r>
  <r>
    <n v="396"/>
    <d v="2023-02-23T00:00:00"/>
    <x v="395"/>
    <x v="1"/>
    <n v="55"/>
    <s v="Beauty"/>
    <n v="1"/>
    <n v="30"/>
    <n v="30"/>
    <s v="23/02/2023"/>
    <x v="1"/>
  </r>
  <r>
    <n v="397"/>
    <d v="2023-03-10T00:00:00"/>
    <x v="396"/>
    <x v="1"/>
    <n v="30"/>
    <s v="Beauty"/>
    <n v="1"/>
    <n v="25"/>
    <n v="25"/>
    <s v="10/03/2023"/>
    <x v="0"/>
  </r>
  <r>
    <n v="398"/>
    <d v="2023-05-16T00:00:00"/>
    <x v="397"/>
    <x v="1"/>
    <n v="48"/>
    <s v="Clothing"/>
    <n v="2"/>
    <n v="300"/>
    <n v="600"/>
    <s v="16/05/2023"/>
    <x v="1"/>
  </r>
  <r>
    <n v="399"/>
    <d v="2023-03-01T00:00:00"/>
    <x v="398"/>
    <x v="1"/>
    <n v="64"/>
    <s v="Beauty"/>
    <n v="2"/>
    <n v="30"/>
    <n v="60"/>
    <s v="01/03/2023"/>
    <x v="3"/>
  </r>
  <r>
    <n v="400"/>
    <d v="2023-02-24T00:00:00"/>
    <x v="399"/>
    <x v="0"/>
    <n v="53"/>
    <s v="Clothing"/>
    <n v="4"/>
    <n v="50"/>
    <n v="200"/>
    <s v="24/02/2023"/>
    <x v="1"/>
  </r>
  <r>
    <n v="401"/>
    <d v="2023-10-11T00:00:00"/>
    <x v="400"/>
    <x v="1"/>
    <n v="62"/>
    <s v="Clothing"/>
    <n v="1"/>
    <n v="300"/>
    <n v="300"/>
    <s v="11/10/2023"/>
    <x v="3"/>
  </r>
  <r>
    <n v="402"/>
    <d v="2023-03-21T00:00:00"/>
    <x v="401"/>
    <x v="1"/>
    <n v="41"/>
    <s v="Clothing"/>
    <n v="2"/>
    <n v="300"/>
    <n v="600"/>
    <s v="21/03/2023"/>
    <x v="2"/>
  </r>
  <r>
    <n v="403"/>
    <d v="2023-05-20T00:00:00"/>
    <x v="402"/>
    <x v="0"/>
    <n v="32"/>
    <s v="Clothing"/>
    <n v="2"/>
    <n v="300"/>
    <n v="600"/>
    <s v="20/05/2023"/>
    <x v="0"/>
  </r>
  <r>
    <n v="404"/>
    <d v="2023-05-25T00:00:00"/>
    <x v="403"/>
    <x v="0"/>
    <n v="46"/>
    <s v="Electronics"/>
    <n v="2"/>
    <n v="500"/>
    <n v="1000"/>
    <s v="25/05/2023"/>
    <x v="1"/>
  </r>
  <r>
    <n v="405"/>
    <d v="2023-11-06T00:00:00"/>
    <x v="404"/>
    <x v="1"/>
    <n v="25"/>
    <s v="Clothing"/>
    <n v="4"/>
    <n v="300"/>
    <n v="1200"/>
    <s v="06/11/2023"/>
    <x v="4"/>
  </r>
  <r>
    <n v="406"/>
    <d v="2023-04-18T00:00:00"/>
    <x v="405"/>
    <x v="1"/>
    <n v="22"/>
    <s v="Beauty"/>
    <n v="4"/>
    <n v="25"/>
    <n v="100"/>
    <s v="18/04/2023"/>
    <x v="4"/>
  </r>
  <r>
    <n v="407"/>
    <d v="2023-06-25T00:00:00"/>
    <x v="406"/>
    <x v="1"/>
    <n v="46"/>
    <s v="Electronics"/>
    <n v="3"/>
    <n v="300"/>
    <n v="900"/>
    <s v="25/06/2023"/>
    <x v="1"/>
  </r>
  <r>
    <n v="408"/>
    <d v="2023-04-15T00:00:00"/>
    <x v="407"/>
    <x v="1"/>
    <n v="64"/>
    <s v="Beauty"/>
    <n v="1"/>
    <n v="500"/>
    <n v="500"/>
    <s v="15/04/2023"/>
    <x v="3"/>
  </r>
  <r>
    <n v="409"/>
    <d v="2023-12-18T00:00:00"/>
    <x v="408"/>
    <x v="1"/>
    <n v="21"/>
    <s v="Electronics"/>
    <n v="3"/>
    <n v="300"/>
    <n v="900"/>
    <s v="18/12/2023"/>
    <x v="4"/>
  </r>
  <r>
    <n v="410"/>
    <d v="2023-11-21T00:00:00"/>
    <x v="409"/>
    <x v="1"/>
    <n v="29"/>
    <s v="Clothing"/>
    <n v="2"/>
    <n v="50"/>
    <n v="100"/>
    <s v="21/11/2023"/>
    <x v="0"/>
  </r>
  <r>
    <n v="411"/>
    <d v="2023-05-16T00:00:00"/>
    <x v="410"/>
    <x v="0"/>
    <n v="62"/>
    <s v="Electronics"/>
    <n v="4"/>
    <n v="50"/>
    <n v="200"/>
    <s v="16/05/2023"/>
    <x v="3"/>
  </r>
  <r>
    <n v="412"/>
    <d v="2023-09-16T00:00:00"/>
    <x v="411"/>
    <x v="1"/>
    <n v="19"/>
    <s v="Electronics"/>
    <n v="4"/>
    <n v="500"/>
    <n v="2000"/>
    <s v="16/09/2023"/>
    <x v="4"/>
  </r>
  <r>
    <n v="413"/>
    <d v="2023-09-08T00:00:00"/>
    <x v="412"/>
    <x v="1"/>
    <n v="44"/>
    <s v="Beauty"/>
    <n v="3"/>
    <n v="25"/>
    <n v="75"/>
    <s v="08/09/2023"/>
    <x v="2"/>
  </r>
  <r>
    <n v="414"/>
    <d v="2023-05-09T00:00:00"/>
    <x v="413"/>
    <x v="0"/>
    <n v="48"/>
    <s v="Beauty"/>
    <n v="4"/>
    <n v="25"/>
    <n v="100"/>
    <s v="09/05/2023"/>
    <x v="1"/>
  </r>
  <r>
    <n v="415"/>
    <d v="2023-01-27T00:00:00"/>
    <x v="414"/>
    <x v="0"/>
    <n v="53"/>
    <s v="Clothing"/>
    <n v="2"/>
    <n v="30"/>
    <n v="60"/>
    <s v="27/01/2023"/>
    <x v="1"/>
  </r>
  <r>
    <n v="416"/>
    <d v="2023-02-17T00:00:00"/>
    <x v="415"/>
    <x v="0"/>
    <n v="53"/>
    <s v="Electronics"/>
    <n v="4"/>
    <n v="500"/>
    <n v="2000"/>
    <s v="17/02/2023"/>
    <x v="1"/>
  </r>
  <r>
    <n v="417"/>
    <d v="2023-11-21T00:00:00"/>
    <x v="416"/>
    <x v="0"/>
    <n v="43"/>
    <s v="Electronics"/>
    <n v="3"/>
    <n v="300"/>
    <n v="900"/>
    <s v="21/11/2023"/>
    <x v="2"/>
  </r>
  <r>
    <n v="418"/>
    <d v="2023-08-05T00:00:00"/>
    <x v="417"/>
    <x v="1"/>
    <n v="60"/>
    <s v="Electronics"/>
    <n v="2"/>
    <n v="500"/>
    <n v="1000"/>
    <s v="05/08/2023"/>
    <x v="1"/>
  </r>
  <r>
    <n v="419"/>
    <d v="2023-05-22T00:00:00"/>
    <x v="418"/>
    <x v="1"/>
    <n v="44"/>
    <s v="Clothing"/>
    <n v="3"/>
    <n v="30"/>
    <n v="90"/>
    <s v="22/05/2023"/>
    <x v="2"/>
  </r>
  <r>
    <n v="420"/>
    <d v="2023-01-23T00:00:00"/>
    <x v="419"/>
    <x v="1"/>
    <n v="22"/>
    <s v="Clothing"/>
    <n v="4"/>
    <n v="500"/>
    <n v="2000"/>
    <s v="23/01/2023"/>
    <x v="4"/>
  </r>
  <r>
    <n v="421"/>
    <d v="2023-01-02T00:00:00"/>
    <x v="420"/>
    <x v="1"/>
    <n v="37"/>
    <s v="Clothing"/>
    <n v="3"/>
    <n v="500"/>
    <n v="1500"/>
    <s v="02/01/2023"/>
    <x v="2"/>
  </r>
  <r>
    <n v="422"/>
    <d v="2023-06-20T00:00:00"/>
    <x v="421"/>
    <x v="1"/>
    <n v="28"/>
    <s v="Clothing"/>
    <n v="3"/>
    <n v="30"/>
    <n v="90"/>
    <s v="20/06/2023"/>
    <x v="0"/>
  </r>
  <r>
    <n v="423"/>
    <d v="2023-03-08T00:00:00"/>
    <x v="422"/>
    <x v="1"/>
    <n v="27"/>
    <s v="Clothing"/>
    <n v="1"/>
    <n v="25"/>
    <n v="25"/>
    <s v="08/03/2023"/>
    <x v="0"/>
  </r>
  <r>
    <n v="424"/>
    <d v="2023-11-23T00:00:00"/>
    <x v="423"/>
    <x v="0"/>
    <n v="57"/>
    <s v="Beauty"/>
    <n v="4"/>
    <n v="300"/>
    <n v="1200"/>
    <s v="23/11/2023"/>
    <x v="1"/>
  </r>
  <r>
    <n v="425"/>
    <d v="2023-05-15T00:00:00"/>
    <x v="424"/>
    <x v="1"/>
    <n v="55"/>
    <s v="Electronics"/>
    <n v="4"/>
    <n v="30"/>
    <n v="120"/>
    <s v="15/05/2023"/>
    <x v="1"/>
  </r>
  <r>
    <n v="426"/>
    <d v="2023-03-24T00:00:00"/>
    <x v="425"/>
    <x v="0"/>
    <n v="23"/>
    <s v="Electronics"/>
    <n v="3"/>
    <n v="50"/>
    <n v="150"/>
    <s v="24/03/2023"/>
    <x v="4"/>
  </r>
  <r>
    <n v="427"/>
    <d v="2023-08-15T00:00:00"/>
    <x v="426"/>
    <x v="0"/>
    <n v="25"/>
    <s v="Electronics"/>
    <n v="1"/>
    <n v="25"/>
    <n v="25"/>
    <s v="15/08/2023"/>
    <x v="4"/>
  </r>
  <r>
    <n v="428"/>
    <d v="2023-10-10T00:00:00"/>
    <x v="427"/>
    <x v="1"/>
    <n v="40"/>
    <s v="Electronics"/>
    <n v="4"/>
    <n v="50"/>
    <n v="200"/>
    <s v="10/10/2023"/>
    <x v="2"/>
  </r>
  <r>
    <n v="429"/>
    <d v="2023-12-28T00:00:00"/>
    <x v="428"/>
    <x v="0"/>
    <n v="64"/>
    <s v="Electronics"/>
    <n v="2"/>
    <n v="25"/>
    <n v="50"/>
    <s v="28/12/2023"/>
    <x v="3"/>
  </r>
  <r>
    <n v="430"/>
    <d v="2023-08-07T00:00:00"/>
    <x v="429"/>
    <x v="1"/>
    <n v="43"/>
    <s v="Electronics"/>
    <n v="3"/>
    <n v="300"/>
    <n v="900"/>
    <s v="07/08/2023"/>
    <x v="2"/>
  </r>
  <r>
    <n v="431"/>
    <d v="2023-10-15T00:00:00"/>
    <x v="430"/>
    <x v="0"/>
    <n v="63"/>
    <s v="Electronics"/>
    <n v="4"/>
    <n v="300"/>
    <n v="1200"/>
    <s v="15/10/2023"/>
    <x v="3"/>
  </r>
  <r>
    <n v="432"/>
    <d v="2023-01-05T00:00:00"/>
    <x v="431"/>
    <x v="1"/>
    <n v="60"/>
    <s v="Electronics"/>
    <n v="2"/>
    <n v="500"/>
    <n v="1000"/>
    <s v="05/01/2023"/>
    <x v="1"/>
  </r>
  <r>
    <n v="433"/>
    <d v="2023-02-27T00:00:00"/>
    <x v="432"/>
    <x v="0"/>
    <n v="29"/>
    <s v="Beauty"/>
    <n v="4"/>
    <n v="50"/>
    <n v="200"/>
    <s v="27/02/2023"/>
    <x v="0"/>
  </r>
  <r>
    <n v="434"/>
    <d v="2023-02-08T00:00:00"/>
    <x v="433"/>
    <x v="1"/>
    <n v="43"/>
    <s v="Electronics"/>
    <n v="2"/>
    <n v="25"/>
    <n v="50"/>
    <s v="08/02/2023"/>
    <x v="2"/>
  </r>
  <r>
    <n v="435"/>
    <d v="2023-12-20T00:00:00"/>
    <x v="434"/>
    <x v="1"/>
    <n v="30"/>
    <s v="Beauty"/>
    <n v="3"/>
    <n v="300"/>
    <n v="900"/>
    <s v="20/12/2023"/>
    <x v="0"/>
  </r>
  <r>
    <n v="436"/>
    <d v="2023-03-18T00:00:00"/>
    <x v="435"/>
    <x v="1"/>
    <n v="57"/>
    <s v="Clothing"/>
    <n v="4"/>
    <n v="30"/>
    <n v="120"/>
    <s v="18/03/2023"/>
    <x v="1"/>
  </r>
  <r>
    <n v="437"/>
    <d v="2023-10-07T00:00:00"/>
    <x v="436"/>
    <x v="1"/>
    <n v="35"/>
    <s v="Electronics"/>
    <n v="4"/>
    <n v="300"/>
    <n v="1200"/>
    <s v="07/10/2023"/>
    <x v="0"/>
  </r>
  <r>
    <n v="438"/>
    <d v="2023-01-19T00:00:00"/>
    <x v="437"/>
    <x v="1"/>
    <n v="42"/>
    <s v="Clothing"/>
    <n v="1"/>
    <n v="30"/>
    <n v="30"/>
    <s v="19/01/2023"/>
    <x v="2"/>
  </r>
  <r>
    <n v="439"/>
    <d v="2023-07-09T00:00:00"/>
    <x v="438"/>
    <x v="0"/>
    <n v="50"/>
    <s v="Clothing"/>
    <n v="3"/>
    <n v="25"/>
    <n v="75"/>
    <s v="09/07/2023"/>
    <x v="1"/>
  </r>
  <r>
    <n v="440"/>
    <d v="2023-10-26T00:00:00"/>
    <x v="439"/>
    <x v="0"/>
    <n v="64"/>
    <s v="Clothing"/>
    <n v="2"/>
    <n v="300"/>
    <n v="600"/>
    <s v="26/10/2023"/>
    <x v="3"/>
  </r>
  <r>
    <n v="441"/>
    <d v="2023-10-10T00:00:00"/>
    <x v="440"/>
    <x v="0"/>
    <n v="57"/>
    <s v="Beauty"/>
    <n v="4"/>
    <n v="300"/>
    <n v="1200"/>
    <s v="10/10/2023"/>
    <x v="1"/>
  </r>
  <r>
    <n v="442"/>
    <d v="2023-03-17T00:00:00"/>
    <x v="441"/>
    <x v="1"/>
    <n v="60"/>
    <s v="Clothing"/>
    <n v="4"/>
    <n v="25"/>
    <n v="100"/>
    <s v="17/03/2023"/>
    <x v="1"/>
  </r>
  <r>
    <n v="443"/>
    <d v="2023-08-09T00:00:00"/>
    <x v="442"/>
    <x v="0"/>
    <n v="29"/>
    <s v="Clothing"/>
    <n v="2"/>
    <n v="300"/>
    <n v="600"/>
    <s v="09/08/2023"/>
    <x v="0"/>
  </r>
  <r>
    <n v="444"/>
    <d v="2023-03-07T00:00:00"/>
    <x v="443"/>
    <x v="1"/>
    <n v="61"/>
    <s v="Clothing"/>
    <n v="3"/>
    <n v="30"/>
    <n v="90"/>
    <s v="07/03/2023"/>
    <x v="3"/>
  </r>
  <r>
    <n v="445"/>
    <d v="2023-01-22T00:00:00"/>
    <x v="444"/>
    <x v="1"/>
    <n v="53"/>
    <s v="Electronics"/>
    <n v="1"/>
    <n v="300"/>
    <n v="300"/>
    <s v="22/01/2023"/>
    <x v="1"/>
  </r>
  <r>
    <n v="446"/>
    <d v="2023-06-07T00:00:00"/>
    <x v="445"/>
    <x v="0"/>
    <n v="21"/>
    <s v="Electronics"/>
    <n v="1"/>
    <n v="50"/>
    <n v="50"/>
    <s v="07/06/2023"/>
    <x v="4"/>
  </r>
  <r>
    <n v="447"/>
    <d v="2023-07-06T00:00:00"/>
    <x v="446"/>
    <x v="0"/>
    <n v="22"/>
    <s v="Beauty"/>
    <n v="4"/>
    <n v="500"/>
    <n v="2000"/>
    <s v="06/07/2023"/>
    <x v="4"/>
  </r>
  <r>
    <n v="448"/>
    <d v="2023-01-21T00:00:00"/>
    <x v="447"/>
    <x v="1"/>
    <n v="54"/>
    <s v="Beauty"/>
    <n v="2"/>
    <n v="30"/>
    <n v="60"/>
    <s v="21/01/2023"/>
    <x v="1"/>
  </r>
  <r>
    <n v="449"/>
    <d v="2023-07-03T00:00:00"/>
    <x v="448"/>
    <x v="0"/>
    <n v="25"/>
    <s v="Electronics"/>
    <n v="4"/>
    <n v="50"/>
    <n v="200"/>
    <s v="03/07/2023"/>
    <x v="4"/>
  </r>
  <r>
    <n v="450"/>
    <d v="2023-04-18T00:00:00"/>
    <x v="449"/>
    <x v="1"/>
    <n v="59"/>
    <s v="Beauty"/>
    <n v="2"/>
    <n v="25"/>
    <n v="50"/>
    <s v="18/04/2023"/>
    <x v="1"/>
  </r>
  <r>
    <n v="451"/>
    <d v="2023-12-16T00:00:00"/>
    <x v="450"/>
    <x v="1"/>
    <n v="45"/>
    <s v="Electronics"/>
    <n v="1"/>
    <n v="30"/>
    <n v="30"/>
    <s v="16/12/2023"/>
    <x v="2"/>
  </r>
  <r>
    <n v="452"/>
    <d v="2023-05-08T00:00:00"/>
    <x v="451"/>
    <x v="1"/>
    <n v="48"/>
    <s v="Clothing"/>
    <n v="3"/>
    <n v="500"/>
    <n v="1500"/>
    <s v="08/05/2023"/>
    <x v="1"/>
  </r>
  <r>
    <n v="453"/>
    <d v="2023-12-08T00:00:00"/>
    <x v="452"/>
    <x v="1"/>
    <n v="26"/>
    <s v="Clothing"/>
    <n v="2"/>
    <n v="500"/>
    <n v="1000"/>
    <s v="08/12/2023"/>
    <x v="0"/>
  </r>
  <r>
    <n v="454"/>
    <d v="2023-02-22T00:00:00"/>
    <x v="453"/>
    <x v="1"/>
    <n v="46"/>
    <s v="Beauty"/>
    <n v="1"/>
    <n v="25"/>
    <n v="25"/>
    <s v="22/02/2023"/>
    <x v="1"/>
  </r>
  <r>
    <n v="455"/>
    <d v="2023-07-01T00:00:00"/>
    <x v="454"/>
    <x v="0"/>
    <n v="31"/>
    <s v="Electronics"/>
    <n v="4"/>
    <n v="25"/>
    <n v="100"/>
    <s v="01/07/2023"/>
    <x v="0"/>
  </r>
  <r>
    <n v="456"/>
    <d v="2023-10-14T00:00:00"/>
    <x v="455"/>
    <x v="0"/>
    <n v="57"/>
    <s v="Electronics"/>
    <n v="2"/>
    <n v="30"/>
    <n v="60"/>
    <s v="14/10/2023"/>
    <x v="1"/>
  </r>
  <r>
    <n v="457"/>
    <d v="2023-07-28T00:00:00"/>
    <x v="456"/>
    <x v="1"/>
    <n v="58"/>
    <s v="Beauty"/>
    <n v="3"/>
    <n v="300"/>
    <n v="900"/>
    <s v="28/07/2023"/>
    <x v="1"/>
  </r>
  <r>
    <n v="458"/>
    <d v="2023-11-14T00:00:00"/>
    <x v="457"/>
    <x v="1"/>
    <n v="39"/>
    <s v="Electronics"/>
    <n v="4"/>
    <n v="25"/>
    <n v="100"/>
    <s v="14/11/2023"/>
    <x v="2"/>
  </r>
  <r>
    <n v="459"/>
    <d v="2023-03-21T00:00:00"/>
    <x v="458"/>
    <x v="0"/>
    <n v="28"/>
    <s v="Clothing"/>
    <n v="4"/>
    <n v="300"/>
    <n v="1200"/>
    <s v="21/03/2023"/>
    <x v="0"/>
  </r>
  <r>
    <n v="460"/>
    <d v="2023-05-02T00:00:00"/>
    <x v="459"/>
    <x v="0"/>
    <n v="40"/>
    <s v="Beauty"/>
    <n v="1"/>
    <n v="50"/>
    <n v="50"/>
    <s v="02/05/2023"/>
    <x v="2"/>
  </r>
  <r>
    <n v="461"/>
    <d v="2023-03-25T00:00:00"/>
    <x v="460"/>
    <x v="1"/>
    <n v="18"/>
    <s v="Beauty"/>
    <n v="2"/>
    <n v="500"/>
    <n v="1000"/>
    <s v="25/03/2023"/>
    <x v="4"/>
  </r>
  <r>
    <n v="462"/>
    <d v="2023-04-01T00:00:00"/>
    <x v="461"/>
    <x v="0"/>
    <n v="63"/>
    <s v="Electronics"/>
    <n v="4"/>
    <n v="300"/>
    <n v="1200"/>
    <s v="01/04/2023"/>
    <x v="3"/>
  </r>
  <r>
    <n v="463"/>
    <d v="2023-07-31T00:00:00"/>
    <x v="462"/>
    <x v="1"/>
    <n v="54"/>
    <s v="Beauty"/>
    <n v="3"/>
    <n v="500"/>
    <n v="1500"/>
    <s v="31/07/2023"/>
    <x v="1"/>
  </r>
  <r>
    <n v="464"/>
    <d v="2023-01-13T00:00:00"/>
    <x v="463"/>
    <x v="0"/>
    <n v="38"/>
    <s v="Electronics"/>
    <n v="2"/>
    <n v="300"/>
    <n v="600"/>
    <s v="13/01/2023"/>
    <x v="2"/>
  </r>
  <r>
    <n v="465"/>
    <d v="2023-04-02T00:00:00"/>
    <x v="464"/>
    <x v="1"/>
    <n v="43"/>
    <s v="Electronics"/>
    <n v="3"/>
    <n v="50"/>
    <n v="150"/>
    <s v="02/04/2023"/>
    <x v="2"/>
  </r>
  <r>
    <n v="466"/>
    <d v="2023-06-20T00:00:00"/>
    <x v="465"/>
    <x v="0"/>
    <n v="63"/>
    <s v="Electronics"/>
    <n v="4"/>
    <n v="25"/>
    <n v="100"/>
    <s v="20/06/2023"/>
    <x v="3"/>
  </r>
  <r>
    <n v="467"/>
    <d v="2023-07-30T00:00:00"/>
    <x v="466"/>
    <x v="1"/>
    <n v="53"/>
    <s v="Electronics"/>
    <n v="3"/>
    <n v="50"/>
    <n v="150"/>
    <s v="30/07/2023"/>
    <x v="1"/>
  </r>
  <r>
    <n v="468"/>
    <d v="2023-12-09T00:00:00"/>
    <x v="467"/>
    <x v="0"/>
    <n v="40"/>
    <s v="Electronics"/>
    <n v="1"/>
    <n v="25"/>
    <n v="25"/>
    <s v="09/12/2023"/>
    <x v="2"/>
  </r>
  <r>
    <n v="469"/>
    <d v="2023-05-08T00:00:00"/>
    <x v="468"/>
    <x v="0"/>
    <n v="18"/>
    <s v="Beauty"/>
    <n v="3"/>
    <n v="25"/>
    <n v="75"/>
    <s v="08/05/2023"/>
    <x v="4"/>
  </r>
  <r>
    <n v="470"/>
    <d v="2023-05-17T00:00:00"/>
    <x v="469"/>
    <x v="1"/>
    <n v="57"/>
    <s v="Clothing"/>
    <n v="2"/>
    <n v="500"/>
    <n v="1000"/>
    <s v="17/05/2023"/>
    <x v="1"/>
  </r>
  <r>
    <n v="471"/>
    <d v="2023-03-23T00:00:00"/>
    <x v="470"/>
    <x v="0"/>
    <n v="32"/>
    <s v="Clothing"/>
    <n v="3"/>
    <n v="50"/>
    <n v="150"/>
    <s v="23/03/2023"/>
    <x v="0"/>
  </r>
  <r>
    <n v="472"/>
    <d v="2023-12-26T00:00:00"/>
    <x v="471"/>
    <x v="1"/>
    <n v="38"/>
    <s v="Beauty"/>
    <n v="3"/>
    <n v="300"/>
    <n v="900"/>
    <s v="26/12/2023"/>
    <x v="2"/>
  </r>
  <r>
    <n v="473"/>
    <d v="2023-02-25T00:00:00"/>
    <x v="472"/>
    <x v="0"/>
    <n v="64"/>
    <s v="Beauty"/>
    <n v="1"/>
    <n v="50"/>
    <n v="50"/>
    <s v="25/02/2023"/>
    <x v="3"/>
  </r>
  <r>
    <n v="474"/>
    <d v="2023-07-15T00:00:00"/>
    <x v="473"/>
    <x v="1"/>
    <n v="26"/>
    <s v="Clothing"/>
    <n v="3"/>
    <n v="500"/>
    <n v="1500"/>
    <s v="15/07/2023"/>
    <x v="0"/>
  </r>
  <r>
    <n v="475"/>
    <d v="2023-01-20T00:00:00"/>
    <x v="474"/>
    <x v="0"/>
    <n v="26"/>
    <s v="Clothing"/>
    <n v="3"/>
    <n v="25"/>
    <n v="75"/>
    <s v="20/01/2023"/>
    <x v="0"/>
  </r>
  <r>
    <n v="476"/>
    <d v="2023-08-29T00:00:00"/>
    <x v="475"/>
    <x v="1"/>
    <n v="27"/>
    <s v="Clothing"/>
    <n v="4"/>
    <n v="500"/>
    <n v="2000"/>
    <s v="29/08/2023"/>
    <x v="0"/>
  </r>
  <r>
    <n v="477"/>
    <d v="2023-04-24T00:00:00"/>
    <x v="476"/>
    <x v="0"/>
    <n v="43"/>
    <s v="Clothing"/>
    <n v="4"/>
    <n v="30"/>
    <n v="120"/>
    <s v="24/04/2023"/>
    <x v="2"/>
  </r>
  <r>
    <n v="478"/>
    <d v="2023-04-13T00:00:00"/>
    <x v="477"/>
    <x v="1"/>
    <n v="58"/>
    <s v="Clothing"/>
    <n v="2"/>
    <n v="30"/>
    <n v="60"/>
    <s v="13/04/2023"/>
    <x v="1"/>
  </r>
  <r>
    <n v="479"/>
    <d v="2023-08-24T00:00:00"/>
    <x v="478"/>
    <x v="0"/>
    <n v="52"/>
    <s v="Electronics"/>
    <n v="4"/>
    <n v="300"/>
    <n v="1200"/>
    <s v="24/08/2023"/>
    <x v="1"/>
  </r>
  <r>
    <n v="480"/>
    <d v="2023-06-29T00:00:00"/>
    <x v="479"/>
    <x v="1"/>
    <n v="42"/>
    <s v="Beauty"/>
    <n v="4"/>
    <n v="500"/>
    <n v="2000"/>
    <s v="29/06/2023"/>
    <x v="2"/>
  </r>
  <r>
    <n v="481"/>
    <d v="2023-06-06T00:00:00"/>
    <x v="480"/>
    <x v="1"/>
    <n v="43"/>
    <s v="Electronics"/>
    <n v="4"/>
    <n v="300"/>
    <n v="1200"/>
    <s v="06/06/2023"/>
    <x v="2"/>
  </r>
  <r>
    <n v="482"/>
    <d v="2023-04-27T00:00:00"/>
    <x v="481"/>
    <x v="1"/>
    <n v="28"/>
    <s v="Clothing"/>
    <n v="4"/>
    <n v="300"/>
    <n v="1200"/>
    <s v="27/04/2023"/>
    <x v="0"/>
  </r>
  <r>
    <n v="483"/>
    <d v="2023-04-25T00:00:00"/>
    <x v="482"/>
    <x v="0"/>
    <n v="55"/>
    <s v="Clothing"/>
    <n v="1"/>
    <n v="30"/>
    <n v="30"/>
    <s v="25/04/2023"/>
    <x v="1"/>
  </r>
  <r>
    <n v="484"/>
    <d v="2023-01-13T00:00:00"/>
    <x v="483"/>
    <x v="1"/>
    <n v="19"/>
    <s v="Clothing"/>
    <n v="4"/>
    <n v="300"/>
    <n v="1200"/>
    <s v="13/01/2023"/>
    <x v="4"/>
  </r>
  <r>
    <n v="485"/>
    <d v="2023-12-04T00:00:00"/>
    <x v="484"/>
    <x v="0"/>
    <n v="24"/>
    <s v="Electronics"/>
    <n v="1"/>
    <n v="30"/>
    <n v="30"/>
    <s v="04/12/2023"/>
    <x v="4"/>
  </r>
  <r>
    <n v="486"/>
    <d v="2023-04-09T00:00:00"/>
    <x v="485"/>
    <x v="1"/>
    <n v="35"/>
    <s v="Electronics"/>
    <n v="1"/>
    <n v="25"/>
    <n v="25"/>
    <s v="09/04/2023"/>
    <x v="0"/>
  </r>
  <r>
    <n v="487"/>
    <d v="2023-07-24T00:00:00"/>
    <x v="486"/>
    <x v="0"/>
    <n v="44"/>
    <s v="Clothing"/>
    <n v="4"/>
    <n v="500"/>
    <n v="2000"/>
    <s v="24/07/2023"/>
    <x v="2"/>
  </r>
  <r>
    <n v="488"/>
    <d v="2023-06-18T00:00:00"/>
    <x v="487"/>
    <x v="1"/>
    <n v="51"/>
    <s v="Electronics"/>
    <n v="3"/>
    <n v="300"/>
    <n v="900"/>
    <s v="18/06/2023"/>
    <x v="1"/>
  </r>
  <r>
    <n v="489"/>
    <d v="2023-05-23T00:00:00"/>
    <x v="488"/>
    <x v="0"/>
    <n v="44"/>
    <s v="Electronics"/>
    <n v="1"/>
    <n v="30"/>
    <n v="30"/>
    <s v="23/05/2023"/>
    <x v="2"/>
  </r>
  <r>
    <n v="490"/>
    <d v="2023-02-05T00:00:00"/>
    <x v="489"/>
    <x v="0"/>
    <n v="34"/>
    <s v="Clothing"/>
    <n v="3"/>
    <n v="50"/>
    <n v="150"/>
    <s v="05/02/2023"/>
    <x v="0"/>
  </r>
  <r>
    <n v="491"/>
    <d v="2023-05-23T00:00:00"/>
    <x v="490"/>
    <x v="1"/>
    <n v="60"/>
    <s v="Electronics"/>
    <n v="3"/>
    <n v="300"/>
    <n v="900"/>
    <s v="23/05/2023"/>
    <x v="1"/>
  </r>
  <r>
    <n v="492"/>
    <d v="2023-06-29T00:00:00"/>
    <x v="491"/>
    <x v="0"/>
    <n v="61"/>
    <s v="Beauty"/>
    <n v="4"/>
    <n v="25"/>
    <n v="100"/>
    <s v="29/06/2023"/>
    <x v="3"/>
  </r>
  <r>
    <n v="493"/>
    <d v="2023-11-25T00:00:00"/>
    <x v="492"/>
    <x v="0"/>
    <n v="41"/>
    <s v="Beauty"/>
    <n v="2"/>
    <n v="25"/>
    <n v="50"/>
    <s v="25/11/2023"/>
    <x v="2"/>
  </r>
  <r>
    <n v="494"/>
    <d v="2023-09-18T00:00:00"/>
    <x v="493"/>
    <x v="1"/>
    <n v="42"/>
    <s v="Beauty"/>
    <n v="4"/>
    <n v="50"/>
    <n v="200"/>
    <s v="18/09/2023"/>
    <x v="2"/>
  </r>
  <r>
    <n v="495"/>
    <d v="2023-07-24T00:00:00"/>
    <x v="494"/>
    <x v="0"/>
    <n v="24"/>
    <s v="Beauty"/>
    <n v="2"/>
    <n v="30"/>
    <n v="60"/>
    <s v="24/07/2023"/>
    <x v="4"/>
  </r>
  <r>
    <n v="496"/>
    <d v="2023-12-14T00:00:00"/>
    <x v="495"/>
    <x v="0"/>
    <n v="23"/>
    <s v="Clothing"/>
    <n v="2"/>
    <n v="300"/>
    <n v="600"/>
    <s v="14/12/2023"/>
    <x v="4"/>
  </r>
  <r>
    <n v="497"/>
    <d v="2023-10-02T00:00:00"/>
    <x v="496"/>
    <x v="0"/>
    <n v="41"/>
    <s v="Clothing"/>
    <n v="4"/>
    <n v="30"/>
    <n v="120"/>
    <s v="02/10/2023"/>
    <x v="2"/>
  </r>
  <r>
    <n v="498"/>
    <d v="2023-06-19T00:00:00"/>
    <x v="497"/>
    <x v="1"/>
    <n v="50"/>
    <s v="Clothing"/>
    <n v="4"/>
    <n v="25"/>
    <n v="100"/>
    <s v="19/06/2023"/>
    <x v="1"/>
  </r>
  <r>
    <n v="499"/>
    <d v="2023-01-15T00:00:00"/>
    <x v="498"/>
    <x v="0"/>
    <n v="46"/>
    <s v="Beauty"/>
    <n v="2"/>
    <n v="30"/>
    <n v="60"/>
    <s v="15/01/2023"/>
    <x v="1"/>
  </r>
  <r>
    <n v="500"/>
    <d v="2023-03-01T00:00:00"/>
    <x v="499"/>
    <x v="1"/>
    <n v="60"/>
    <s v="Beauty"/>
    <n v="4"/>
    <n v="25"/>
    <n v="100"/>
    <s v="01/03/2023"/>
    <x v="1"/>
  </r>
  <r>
    <n v="501"/>
    <d v="2023-05-14T00:00:00"/>
    <x v="500"/>
    <x v="0"/>
    <n v="39"/>
    <s v="Electronics"/>
    <n v="2"/>
    <n v="30"/>
    <n v="60"/>
    <s v="14/05/2023"/>
    <x v="2"/>
  </r>
  <r>
    <n v="502"/>
    <d v="2023-04-02T00:00:00"/>
    <x v="501"/>
    <x v="0"/>
    <n v="43"/>
    <s v="Electronics"/>
    <n v="3"/>
    <n v="50"/>
    <n v="150"/>
    <s v="02/04/2023"/>
    <x v="2"/>
  </r>
  <r>
    <n v="503"/>
    <d v="2023-10-25T00:00:00"/>
    <x v="502"/>
    <x v="0"/>
    <n v="45"/>
    <s v="Beauty"/>
    <n v="4"/>
    <n v="500"/>
    <n v="2000"/>
    <s v="25/10/2023"/>
    <x v="2"/>
  </r>
  <r>
    <n v="504"/>
    <d v="2023-05-16T00:00:00"/>
    <x v="503"/>
    <x v="1"/>
    <n v="38"/>
    <s v="Beauty"/>
    <n v="3"/>
    <n v="50"/>
    <n v="150"/>
    <s v="16/05/2023"/>
    <x v="2"/>
  </r>
  <r>
    <n v="505"/>
    <d v="2023-01-20T00:00:00"/>
    <x v="504"/>
    <x v="0"/>
    <n v="24"/>
    <s v="Beauty"/>
    <n v="1"/>
    <n v="50"/>
    <n v="50"/>
    <s v="20/01/2023"/>
    <x v="4"/>
  </r>
  <r>
    <n v="506"/>
    <d v="2023-02-25T00:00:00"/>
    <x v="505"/>
    <x v="0"/>
    <n v="34"/>
    <s v="Beauty"/>
    <n v="3"/>
    <n v="500"/>
    <n v="1500"/>
    <s v="25/02/2023"/>
    <x v="0"/>
  </r>
  <r>
    <n v="507"/>
    <d v="2023-11-02T00:00:00"/>
    <x v="506"/>
    <x v="1"/>
    <n v="37"/>
    <s v="Electronics"/>
    <n v="3"/>
    <n v="500"/>
    <n v="1500"/>
    <s v="02/11/2023"/>
    <x v="2"/>
  </r>
  <r>
    <n v="508"/>
    <d v="2023-08-11T00:00:00"/>
    <x v="507"/>
    <x v="0"/>
    <n v="58"/>
    <s v="Beauty"/>
    <n v="2"/>
    <n v="300"/>
    <n v="600"/>
    <s v="11/08/2023"/>
    <x v="1"/>
  </r>
  <r>
    <n v="509"/>
    <d v="2023-06-26T00:00:00"/>
    <x v="508"/>
    <x v="1"/>
    <n v="37"/>
    <s v="Electronics"/>
    <n v="3"/>
    <n v="300"/>
    <n v="900"/>
    <s v="26/06/2023"/>
    <x v="2"/>
  </r>
  <r>
    <n v="510"/>
    <d v="2023-06-10T00:00:00"/>
    <x v="509"/>
    <x v="1"/>
    <n v="39"/>
    <s v="Beauty"/>
    <n v="4"/>
    <n v="50"/>
    <n v="200"/>
    <s v="10/06/2023"/>
    <x v="2"/>
  </r>
  <r>
    <n v="511"/>
    <d v="2023-08-12T00:00:00"/>
    <x v="510"/>
    <x v="0"/>
    <n v="45"/>
    <s v="Beauty"/>
    <n v="2"/>
    <n v="50"/>
    <n v="100"/>
    <s v="12/08/2023"/>
    <x v="2"/>
  </r>
  <r>
    <n v="512"/>
    <d v="2023-11-07T00:00:00"/>
    <x v="511"/>
    <x v="1"/>
    <n v="57"/>
    <s v="Beauty"/>
    <n v="1"/>
    <n v="25"/>
    <n v="25"/>
    <s v="07/11/2023"/>
    <x v="1"/>
  </r>
  <r>
    <n v="513"/>
    <d v="2023-09-19T00:00:00"/>
    <x v="512"/>
    <x v="0"/>
    <n v="24"/>
    <s v="Electronics"/>
    <n v="4"/>
    <n v="25"/>
    <n v="100"/>
    <s v="19/09/2023"/>
    <x v="4"/>
  </r>
  <r>
    <n v="514"/>
    <d v="2023-03-01T00:00:00"/>
    <x v="513"/>
    <x v="1"/>
    <n v="18"/>
    <s v="Electronics"/>
    <n v="1"/>
    <n v="300"/>
    <n v="300"/>
    <s v="01/03/2023"/>
    <x v="4"/>
  </r>
  <r>
    <n v="515"/>
    <d v="2023-07-17T00:00:00"/>
    <x v="514"/>
    <x v="1"/>
    <n v="49"/>
    <s v="Clothing"/>
    <n v="3"/>
    <n v="300"/>
    <n v="900"/>
    <s v="17/07/2023"/>
    <x v="1"/>
  </r>
  <r>
    <n v="516"/>
    <d v="2023-10-23T00:00:00"/>
    <x v="515"/>
    <x v="0"/>
    <n v="30"/>
    <s v="Beauty"/>
    <n v="4"/>
    <n v="25"/>
    <n v="100"/>
    <s v="23/10/2023"/>
    <x v="0"/>
  </r>
  <r>
    <n v="517"/>
    <d v="2023-04-08T00:00:00"/>
    <x v="516"/>
    <x v="1"/>
    <n v="47"/>
    <s v="Clothing"/>
    <n v="4"/>
    <n v="25"/>
    <n v="100"/>
    <s v="08/04/2023"/>
    <x v="1"/>
  </r>
  <r>
    <n v="518"/>
    <d v="2023-05-11T00:00:00"/>
    <x v="517"/>
    <x v="1"/>
    <n v="40"/>
    <s v="Clothing"/>
    <n v="1"/>
    <n v="30"/>
    <n v="30"/>
    <s v="11/05/2023"/>
    <x v="2"/>
  </r>
  <r>
    <n v="519"/>
    <d v="2023-01-23T00:00:00"/>
    <x v="518"/>
    <x v="1"/>
    <n v="36"/>
    <s v="Electronics"/>
    <n v="4"/>
    <n v="30"/>
    <n v="120"/>
    <s v="23/01/2023"/>
    <x v="2"/>
  </r>
  <r>
    <n v="520"/>
    <d v="2023-12-29T00:00:00"/>
    <x v="519"/>
    <x v="1"/>
    <n v="49"/>
    <s v="Electronics"/>
    <n v="4"/>
    <n v="25"/>
    <n v="100"/>
    <s v="29/12/2023"/>
    <x v="1"/>
  </r>
  <r>
    <n v="521"/>
    <d v="2023-08-12T00:00:00"/>
    <x v="520"/>
    <x v="1"/>
    <n v="47"/>
    <s v="Clothing"/>
    <n v="4"/>
    <n v="30"/>
    <n v="120"/>
    <s v="12/08/2023"/>
    <x v="1"/>
  </r>
  <r>
    <n v="522"/>
    <d v="2023-01-01T00:00:00"/>
    <x v="521"/>
    <x v="0"/>
    <n v="46"/>
    <s v="Beauty"/>
    <n v="3"/>
    <n v="500"/>
    <n v="1500"/>
    <s v="01/01/2023"/>
    <x v="1"/>
  </r>
  <r>
    <n v="523"/>
    <d v="2023-09-24T00:00:00"/>
    <x v="522"/>
    <x v="1"/>
    <n v="62"/>
    <s v="Electronics"/>
    <n v="1"/>
    <n v="300"/>
    <n v="300"/>
    <s v="24/09/2023"/>
    <x v="3"/>
  </r>
  <r>
    <n v="524"/>
    <d v="2023-10-03T00:00:00"/>
    <x v="523"/>
    <x v="0"/>
    <n v="46"/>
    <s v="Beauty"/>
    <n v="4"/>
    <n v="300"/>
    <n v="1200"/>
    <s v="03/10/2023"/>
    <x v="1"/>
  </r>
  <r>
    <n v="525"/>
    <d v="2023-12-18T00:00:00"/>
    <x v="524"/>
    <x v="1"/>
    <n v="47"/>
    <s v="Beauty"/>
    <n v="2"/>
    <n v="25"/>
    <n v="50"/>
    <s v="18/12/2023"/>
    <x v="1"/>
  </r>
  <r>
    <n v="526"/>
    <d v="2023-12-10T00:00:00"/>
    <x v="525"/>
    <x v="0"/>
    <n v="33"/>
    <s v="Clothing"/>
    <n v="2"/>
    <n v="50"/>
    <n v="100"/>
    <s v="10/12/2023"/>
    <x v="0"/>
  </r>
  <r>
    <n v="527"/>
    <d v="2023-04-11T00:00:00"/>
    <x v="526"/>
    <x v="0"/>
    <n v="57"/>
    <s v="Clothing"/>
    <n v="2"/>
    <n v="25"/>
    <n v="50"/>
    <s v="11/04/2023"/>
    <x v="1"/>
  </r>
  <r>
    <n v="528"/>
    <d v="2023-07-06T00:00:00"/>
    <x v="527"/>
    <x v="1"/>
    <n v="36"/>
    <s v="Clothing"/>
    <n v="2"/>
    <n v="30"/>
    <n v="60"/>
    <s v="06/07/2023"/>
    <x v="2"/>
  </r>
  <r>
    <n v="529"/>
    <d v="2023-08-09T00:00:00"/>
    <x v="528"/>
    <x v="1"/>
    <n v="35"/>
    <s v="Clothing"/>
    <n v="3"/>
    <n v="50"/>
    <n v="150"/>
    <s v="09/08/2023"/>
    <x v="0"/>
  </r>
  <r>
    <n v="530"/>
    <d v="2023-02-05T00:00:00"/>
    <x v="529"/>
    <x v="1"/>
    <n v="18"/>
    <s v="Electronics"/>
    <n v="4"/>
    <n v="30"/>
    <n v="120"/>
    <s v="05/02/2023"/>
    <x v="4"/>
  </r>
  <r>
    <n v="531"/>
    <d v="2023-12-07T00:00:00"/>
    <x v="530"/>
    <x v="0"/>
    <n v="31"/>
    <s v="Electronics"/>
    <n v="1"/>
    <n v="500"/>
    <n v="500"/>
    <s v="07/12/2023"/>
    <x v="0"/>
  </r>
  <r>
    <n v="532"/>
    <d v="2023-06-19T00:00:00"/>
    <x v="531"/>
    <x v="1"/>
    <n v="64"/>
    <s v="Clothing"/>
    <n v="4"/>
    <n v="30"/>
    <n v="120"/>
    <s v="19/06/2023"/>
    <x v="3"/>
  </r>
  <r>
    <n v="533"/>
    <d v="2023-11-16T00:00:00"/>
    <x v="532"/>
    <x v="0"/>
    <n v="19"/>
    <s v="Electronics"/>
    <n v="3"/>
    <n v="500"/>
    <n v="1500"/>
    <s v="16/11/2023"/>
    <x v="4"/>
  </r>
  <r>
    <n v="534"/>
    <d v="2023-06-10T00:00:00"/>
    <x v="533"/>
    <x v="0"/>
    <n v="45"/>
    <s v="Clothing"/>
    <n v="2"/>
    <n v="500"/>
    <n v="1000"/>
    <s v="10/06/2023"/>
    <x v="2"/>
  </r>
  <r>
    <n v="535"/>
    <d v="2023-12-06T00:00:00"/>
    <x v="534"/>
    <x v="0"/>
    <n v="47"/>
    <s v="Beauty"/>
    <n v="3"/>
    <n v="30"/>
    <n v="90"/>
    <s v="06/12/2023"/>
    <x v="1"/>
  </r>
  <r>
    <n v="536"/>
    <d v="2023-03-05T00:00:00"/>
    <x v="535"/>
    <x v="1"/>
    <n v="55"/>
    <s v="Beauty"/>
    <n v="4"/>
    <n v="30"/>
    <n v="120"/>
    <s v="05/03/2023"/>
    <x v="1"/>
  </r>
  <r>
    <n v="537"/>
    <d v="2023-06-03T00:00:00"/>
    <x v="536"/>
    <x v="1"/>
    <n v="21"/>
    <s v="Beauty"/>
    <n v="1"/>
    <n v="500"/>
    <n v="500"/>
    <s v="03/06/2023"/>
    <x v="4"/>
  </r>
  <r>
    <n v="538"/>
    <d v="2023-09-17T00:00:00"/>
    <x v="537"/>
    <x v="0"/>
    <n v="18"/>
    <s v="Clothing"/>
    <n v="3"/>
    <n v="50"/>
    <n v="150"/>
    <s v="17/09/2023"/>
    <x v="4"/>
  </r>
  <r>
    <n v="539"/>
    <d v="2023-06-08T00:00:00"/>
    <x v="538"/>
    <x v="0"/>
    <n v="25"/>
    <s v="Beauty"/>
    <n v="1"/>
    <n v="500"/>
    <n v="500"/>
    <s v="08/06/2023"/>
    <x v="4"/>
  </r>
  <r>
    <n v="540"/>
    <d v="2023-12-08T00:00:00"/>
    <x v="539"/>
    <x v="1"/>
    <n v="46"/>
    <s v="Electronics"/>
    <n v="3"/>
    <n v="300"/>
    <n v="900"/>
    <s v="08/12/2023"/>
    <x v="1"/>
  </r>
  <r>
    <n v="541"/>
    <d v="2023-07-29T00:00:00"/>
    <x v="540"/>
    <x v="0"/>
    <n v="56"/>
    <s v="Beauty"/>
    <n v="1"/>
    <n v="500"/>
    <n v="500"/>
    <s v="29/07/2023"/>
    <x v="1"/>
  </r>
  <r>
    <n v="542"/>
    <d v="2023-06-17T00:00:00"/>
    <x v="541"/>
    <x v="1"/>
    <n v="20"/>
    <s v="Beauty"/>
    <n v="1"/>
    <n v="50"/>
    <n v="50"/>
    <s v="17/06/2023"/>
    <x v="4"/>
  </r>
  <r>
    <n v="543"/>
    <d v="2023-07-26T00:00:00"/>
    <x v="542"/>
    <x v="0"/>
    <n v="49"/>
    <s v="Beauty"/>
    <n v="2"/>
    <n v="300"/>
    <n v="600"/>
    <s v="26/07/2023"/>
    <x v="1"/>
  </r>
  <r>
    <n v="544"/>
    <d v="2023-12-23T00:00:00"/>
    <x v="543"/>
    <x v="1"/>
    <n v="27"/>
    <s v="Electronics"/>
    <n v="1"/>
    <n v="25"/>
    <n v="25"/>
    <s v="23/12/2023"/>
    <x v="0"/>
  </r>
  <r>
    <n v="545"/>
    <d v="2023-06-01T00:00:00"/>
    <x v="544"/>
    <x v="0"/>
    <n v="27"/>
    <s v="Clothing"/>
    <n v="2"/>
    <n v="25"/>
    <n v="50"/>
    <s v="01/06/2023"/>
    <x v="0"/>
  </r>
  <r>
    <n v="546"/>
    <d v="2023-10-11T00:00:00"/>
    <x v="545"/>
    <x v="1"/>
    <n v="36"/>
    <s v="Electronics"/>
    <n v="4"/>
    <n v="50"/>
    <n v="200"/>
    <s v="11/10/2023"/>
    <x v="2"/>
  </r>
  <r>
    <n v="547"/>
    <d v="2023-03-07T00:00:00"/>
    <x v="546"/>
    <x v="0"/>
    <n v="63"/>
    <s v="Clothing"/>
    <n v="4"/>
    <n v="500"/>
    <n v="2000"/>
    <s v="07/03/2023"/>
    <x v="3"/>
  </r>
  <r>
    <n v="548"/>
    <d v="2023-04-09T00:00:00"/>
    <x v="547"/>
    <x v="1"/>
    <n v="51"/>
    <s v="Clothing"/>
    <n v="2"/>
    <n v="30"/>
    <n v="60"/>
    <s v="09/04/2023"/>
    <x v="1"/>
  </r>
  <r>
    <n v="549"/>
    <d v="2023-08-04T00:00:00"/>
    <x v="548"/>
    <x v="1"/>
    <n v="50"/>
    <s v="Beauty"/>
    <n v="2"/>
    <n v="50"/>
    <n v="100"/>
    <s v="04/08/2023"/>
    <x v="1"/>
  </r>
  <r>
    <n v="550"/>
    <d v="2023-12-07T00:00:00"/>
    <x v="549"/>
    <x v="0"/>
    <n v="40"/>
    <s v="Clothing"/>
    <n v="3"/>
    <n v="300"/>
    <n v="900"/>
    <s v="07/12/2023"/>
    <x v="2"/>
  </r>
  <r>
    <n v="551"/>
    <d v="2023-07-14T00:00:00"/>
    <x v="550"/>
    <x v="0"/>
    <n v="45"/>
    <s v="Electronics"/>
    <n v="3"/>
    <n v="300"/>
    <n v="900"/>
    <s v="14/07/2023"/>
    <x v="2"/>
  </r>
  <r>
    <n v="552"/>
    <d v="2023-12-13T00:00:00"/>
    <x v="551"/>
    <x v="1"/>
    <n v="49"/>
    <s v="Electronics"/>
    <n v="3"/>
    <n v="25"/>
    <n v="75"/>
    <s v="13/12/2023"/>
    <x v="1"/>
  </r>
  <r>
    <n v="553"/>
    <d v="2023-03-31T00:00:00"/>
    <x v="552"/>
    <x v="0"/>
    <n v="24"/>
    <s v="Clothing"/>
    <n v="4"/>
    <n v="300"/>
    <n v="1200"/>
    <s v="31/03/2023"/>
    <x v="4"/>
  </r>
  <r>
    <n v="554"/>
    <d v="2023-11-12T00:00:00"/>
    <x v="553"/>
    <x v="1"/>
    <n v="46"/>
    <s v="Beauty"/>
    <n v="3"/>
    <n v="50"/>
    <n v="150"/>
    <s v="12/11/2023"/>
    <x v="1"/>
  </r>
  <r>
    <n v="555"/>
    <d v="2023-10-19T00:00:00"/>
    <x v="554"/>
    <x v="0"/>
    <n v="25"/>
    <s v="Beauty"/>
    <n v="1"/>
    <n v="300"/>
    <n v="300"/>
    <s v="19/10/2023"/>
    <x v="4"/>
  </r>
  <r>
    <n v="556"/>
    <d v="2023-06-04T00:00:00"/>
    <x v="555"/>
    <x v="1"/>
    <n v="18"/>
    <s v="Electronics"/>
    <n v="1"/>
    <n v="50"/>
    <n v="50"/>
    <s v="04/06/2023"/>
    <x v="4"/>
  </r>
  <r>
    <n v="557"/>
    <d v="2023-07-27T00:00:00"/>
    <x v="556"/>
    <x v="1"/>
    <n v="20"/>
    <s v="Beauty"/>
    <n v="3"/>
    <n v="30"/>
    <n v="90"/>
    <s v="27/07/2023"/>
    <x v="4"/>
  </r>
  <r>
    <n v="558"/>
    <d v="2023-10-08T00:00:00"/>
    <x v="557"/>
    <x v="1"/>
    <n v="41"/>
    <s v="Clothing"/>
    <n v="1"/>
    <n v="25"/>
    <n v="25"/>
    <s v="08/10/2023"/>
    <x v="2"/>
  </r>
  <r>
    <n v="559"/>
    <d v="2023-01-01T00:00:00"/>
    <x v="558"/>
    <x v="1"/>
    <n v="40"/>
    <s v="Clothing"/>
    <n v="4"/>
    <n v="300"/>
    <n v="1200"/>
    <s v="01/01/2023"/>
    <x v="2"/>
  </r>
  <r>
    <n v="560"/>
    <d v="2023-06-05T00:00:00"/>
    <x v="559"/>
    <x v="1"/>
    <n v="25"/>
    <s v="Electronics"/>
    <n v="1"/>
    <n v="50"/>
    <n v="50"/>
    <s v="05/06/2023"/>
    <x v="4"/>
  </r>
  <r>
    <n v="561"/>
    <d v="2023-05-27T00:00:00"/>
    <x v="560"/>
    <x v="1"/>
    <n v="64"/>
    <s v="Clothing"/>
    <n v="4"/>
    <n v="500"/>
    <n v="2000"/>
    <s v="27/05/2023"/>
    <x v="3"/>
  </r>
  <r>
    <n v="562"/>
    <d v="2023-04-18T00:00:00"/>
    <x v="561"/>
    <x v="0"/>
    <n v="54"/>
    <s v="Electronics"/>
    <n v="2"/>
    <n v="25"/>
    <n v="50"/>
    <s v="18/04/2023"/>
    <x v="1"/>
  </r>
  <r>
    <n v="563"/>
    <d v="2023-08-09T00:00:00"/>
    <x v="562"/>
    <x v="0"/>
    <n v="20"/>
    <s v="Clothing"/>
    <n v="2"/>
    <n v="30"/>
    <n v="60"/>
    <s v="09/08/2023"/>
    <x v="4"/>
  </r>
  <r>
    <n v="564"/>
    <d v="2023-10-24T00:00:00"/>
    <x v="563"/>
    <x v="0"/>
    <n v="50"/>
    <s v="Electronics"/>
    <n v="2"/>
    <n v="50"/>
    <n v="100"/>
    <s v="24/10/2023"/>
    <x v="1"/>
  </r>
  <r>
    <n v="565"/>
    <d v="2023-11-07T00:00:00"/>
    <x v="564"/>
    <x v="1"/>
    <n v="45"/>
    <s v="Beauty"/>
    <n v="2"/>
    <n v="30"/>
    <n v="60"/>
    <s v="07/11/2023"/>
    <x v="2"/>
  </r>
  <r>
    <n v="566"/>
    <d v="2023-12-02T00:00:00"/>
    <x v="565"/>
    <x v="1"/>
    <n v="64"/>
    <s v="Clothing"/>
    <n v="1"/>
    <n v="30"/>
    <n v="30"/>
    <s v="02/12/2023"/>
    <x v="3"/>
  </r>
  <r>
    <n v="567"/>
    <d v="2023-06-14T00:00:00"/>
    <x v="566"/>
    <x v="1"/>
    <n v="25"/>
    <s v="Clothing"/>
    <n v="3"/>
    <n v="300"/>
    <n v="900"/>
    <s v="14/06/2023"/>
    <x v="4"/>
  </r>
  <r>
    <n v="568"/>
    <d v="2023-08-27T00:00:00"/>
    <x v="567"/>
    <x v="1"/>
    <n v="51"/>
    <s v="Electronics"/>
    <n v="1"/>
    <n v="300"/>
    <n v="300"/>
    <s v="27/08/2023"/>
    <x v="1"/>
  </r>
  <r>
    <n v="569"/>
    <d v="2023-08-15T00:00:00"/>
    <x v="568"/>
    <x v="0"/>
    <n v="52"/>
    <s v="Electronics"/>
    <n v="4"/>
    <n v="50"/>
    <n v="200"/>
    <s v="15/08/2023"/>
    <x v="1"/>
  </r>
  <r>
    <n v="570"/>
    <d v="2023-08-15T00:00:00"/>
    <x v="569"/>
    <x v="0"/>
    <n v="49"/>
    <s v="Clothing"/>
    <n v="1"/>
    <n v="500"/>
    <n v="500"/>
    <s v="15/08/2023"/>
    <x v="1"/>
  </r>
  <r>
    <n v="571"/>
    <d v="2023-12-12T00:00:00"/>
    <x v="570"/>
    <x v="1"/>
    <n v="41"/>
    <s v="Electronics"/>
    <n v="1"/>
    <n v="50"/>
    <n v="50"/>
    <s v="12/12/2023"/>
    <x v="2"/>
  </r>
  <r>
    <n v="572"/>
    <d v="2023-04-20T00:00:00"/>
    <x v="571"/>
    <x v="0"/>
    <n v="31"/>
    <s v="Clothing"/>
    <n v="4"/>
    <n v="500"/>
    <n v="2000"/>
    <s v="20/04/2023"/>
    <x v="0"/>
  </r>
  <r>
    <n v="573"/>
    <d v="2023-09-19T00:00:00"/>
    <x v="572"/>
    <x v="0"/>
    <n v="49"/>
    <s v="Beauty"/>
    <n v="2"/>
    <n v="30"/>
    <n v="60"/>
    <s v="19/09/2023"/>
    <x v="1"/>
  </r>
  <r>
    <n v="574"/>
    <d v="2023-08-31T00:00:00"/>
    <x v="573"/>
    <x v="1"/>
    <n v="63"/>
    <s v="Electronics"/>
    <n v="2"/>
    <n v="25"/>
    <n v="50"/>
    <s v="31/08/2023"/>
    <x v="3"/>
  </r>
  <r>
    <n v="575"/>
    <d v="2023-03-28T00:00:00"/>
    <x v="574"/>
    <x v="0"/>
    <n v="60"/>
    <s v="Clothing"/>
    <n v="2"/>
    <n v="50"/>
    <n v="100"/>
    <s v="28/03/2023"/>
    <x v="1"/>
  </r>
  <r>
    <n v="576"/>
    <d v="2023-12-04T00:00:00"/>
    <x v="575"/>
    <x v="1"/>
    <n v="33"/>
    <s v="Beauty"/>
    <n v="3"/>
    <n v="50"/>
    <n v="150"/>
    <s v="04/12/2023"/>
    <x v="0"/>
  </r>
  <r>
    <n v="577"/>
    <d v="2023-02-13T00:00:00"/>
    <x v="576"/>
    <x v="0"/>
    <n v="21"/>
    <s v="Beauty"/>
    <n v="4"/>
    <n v="500"/>
    <n v="2000"/>
    <s v="13/02/2023"/>
    <x v="4"/>
  </r>
  <r>
    <n v="578"/>
    <d v="2023-05-26T00:00:00"/>
    <x v="577"/>
    <x v="1"/>
    <n v="54"/>
    <s v="Clothing"/>
    <n v="4"/>
    <n v="30"/>
    <n v="120"/>
    <s v="26/05/2023"/>
    <x v="1"/>
  </r>
  <r>
    <n v="579"/>
    <d v="2023-09-21T00:00:00"/>
    <x v="578"/>
    <x v="1"/>
    <n v="38"/>
    <s v="Electronics"/>
    <n v="1"/>
    <n v="30"/>
    <n v="30"/>
    <s v="21/09/2023"/>
    <x v="2"/>
  </r>
  <r>
    <n v="580"/>
    <d v="2023-12-06T00:00:00"/>
    <x v="579"/>
    <x v="1"/>
    <n v="31"/>
    <s v="Clothing"/>
    <n v="3"/>
    <n v="500"/>
    <n v="1500"/>
    <s v="06/12/2023"/>
    <x v="0"/>
  </r>
  <r>
    <n v="581"/>
    <d v="2023-11-21T00:00:00"/>
    <x v="580"/>
    <x v="1"/>
    <n v="48"/>
    <s v="Beauty"/>
    <n v="2"/>
    <n v="30"/>
    <n v="60"/>
    <s v="21/11/2023"/>
    <x v="1"/>
  </r>
  <r>
    <n v="582"/>
    <d v="2023-11-14T00:00:00"/>
    <x v="581"/>
    <x v="0"/>
    <n v="35"/>
    <s v="Clothing"/>
    <n v="3"/>
    <n v="300"/>
    <n v="900"/>
    <s v="14/11/2023"/>
    <x v="0"/>
  </r>
  <r>
    <n v="583"/>
    <d v="2023-06-21T00:00:00"/>
    <x v="582"/>
    <x v="1"/>
    <n v="24"/>
    <s v="Electronics"/>
    <n v="4"/>
    <n v="25"/>
    <n v="100"/>
    <s v="21/06/2023"/>
    <x v="4"/>
  </r>
  <r>
    <n v="584"/>
    <d v="2023-02-17T00:00:00"/>
    <x v="583"/>
    <x v="1"/>
    <n v="27"/>
    <s v="Beauty"/>
    <n v="4"/>
    <n v="50"/>
    <n v="200"/>
    <s v="17/02/2023"/>
    <x v="0"/>
  </r>
  <r>
    <n v="585"/>
    <d v="2023-05-01T00:00:00"/>
    <x v="584"/>
    <x v="1"/>
    <n v="24"/>
    <s v="Clothing"/>
    <n v="1"/>
    <n v="25"/>
    <n v="25"/>
    <s v="01/05/2023"/>
    <x v="4"/>
  </r>
  <r>
    <n v="586"/>
    <d v="2023-12-11T00:00:00"/>
    <x v="585"/>
    <x v="0"/>
    <n v="50"/>
    <s v="Electronics"/>
    <n v="1"/>
    <n v="50"/>
    <n v="50"/>
    <s v="11/12/2023"/>
    <x v="1"/>
  </r>
  <r>
    <n v="587"/>
    <d v="2023-06-08T00:00:00"/>
    <x v="586"/>
    <x v="1"/>
    <n v="40"/>
    <s v="Beauty"/>
    <n v="4"/>
    <n v="300"/>
    <n v="1200"/>
    <s v="08/06/2023"/>
    <x v="2"/>
  </r>
  <r>
    <n v="588"/>
    <d v="2023-04-26T00:00:00"/>
    <x v="587"/>
    <x v="0"/>
    <n v="38"/>
    <s v="Electronics"/>
    <n v="2"/>
    <n v="30"/>
    <n v="60"/>
    <s v="26/04/2023"/>
    <x v="2"/>
  </r>
  <r>
    <n v="589"/>
    <d v="2023-04-12T00:00:00"/>
    <x v="588"/>
    <x v="1"/>
    <n v="36"/>
    <s v="Beauty"/>
    <n v="2"/>
    <n v="500"/>
    <n v="1000"/>
    <s v="12/04/2023"/>
    <x v="2"/>
  </r>
  <r>
    <n v="590"/>
    <d v="2023-03-17T00:00:00"/>
    <x v="589"/>
    <x v="0"/>
    <n v="36"/>
    <s v="Clothing"/>
    <n v="3"/>
    <n v="300"/>
    <n v="900"/>
    <s v="17/03/2023"/>
    <x v="2"/>
  </r>
  <r>
    <n v="591"/>
    <d v="2023-01-13T00:00:00"/>
    <x v="590"/>
    <x v="0"/>
    <n v="53"/>
    <s v="Electronics"/>
    <n v="4"/>
    <n v="25"/>
    <n v="100"/>
    <s v="13/01/2023"/>
    <x v="1"/>
  </r>
  <r>
    <n v="592"/>
    <d v="2023-01-24T00:00:00"/>
    <x v="591"/>
    <x v="1"/>
    <n v="46"/>
    <s v="Beauty"/>
    <n v="4"/>
    <n v="500"/>
    <n v="2000"/>
    <s v="24/01/2023"/>
    <x v="1"/>
  </r>
  <r>
    <n v="593"/>
    <d v="2023-05-06T00:00:00"/>
    <x v="592"/>
    <x v="0"/>
    <n v="35"/>
    <s v="Electronics"/>
    <n v="2"/>
    <n v="30"/>
    <n v="60"/>
    <s v="06/05/2023"/>
    <x v="0"/>
  </r>
  <r>
    <n v="594"/>
    <d v="2023-09-01T00:00:00"/>
    <x v="593"/>
    <x v="1"/>
    <n v="19"/>
    <s v="Electronics"/>
    <n v="2"/>
    <n v="300"/>
    <n v="600"/>
    <s v="01/09/2023"/>
    <x v="4"/>
  </r>
  <r>
    <n v="595"/>
    <d v="2023-11-09T00:00:00"/>
    <x v="594"/>
    <x v="1"/>
    <n v="18"/>
    <s v="Clothing"/>
    <n v="4"/>
    <n v="500"/>
    <n v="2000"/>
    <s v="09/11/2023"/>
    <x v="4"/>
  </r>
  <r>
    <n v="596"/>
    <d v="2023-02-07T00:00:00"/>
    <x v="595"/>
    <x v="1"/>
    <n v="64"/>
    <s v="Electronics"/>
    <n v="1"/>
    <n v="300"/>
    <n v="300"/>
    <s v="07/02/2023"/>
    <x v="3"/>
  </r>
  <r>
    <n v="597"/>
    <d v="2023-08-22T00:00:00"/>
    <x v="596"/>
    <x v="0"/>
    <n v="22"/>
    <s v="Beauty"/>
    <n v="4"/>
    <n v="300"/>
    <n v="1200"/>
    <s v="22/08/2023"/>
    <x v="4"/>
  </r>
  <r>
    <n v="598"/>
    <d v="2023-08-01T00:00:00"/>
    <x v="597"/>
    <x v="0"/>
    <n v="37"/>
    <s v="Beauty"/>
    <n v="4"/>
    <n v="30"/>
    <n v="120"/>
    <s v="01/08/2023"/>
    <x v="2"/>
  </r>
  <r>
    <n v="599"/>
    <d v="2023-11-19T00:00:00"/>
    <x v="598"/>
    <x v="1"/>
    <n v="28"/>
    <s v="Beauty"/>
    <n v="2"/>
    <n v="50"/>
    <n v="100"/>
    <s v="19/11/2023"/>
    <x v="0"/>
  </r>
  <r>
    <n v="600"/>
    <d v="2023-10-22T00:00:00"/>
    <x v="599"/>
    <x v="1"/>
    <n v="59"/>
    <s v="Beauty"/>
    <n v="2"/>
    <n v="500"/>
    <n v="1000"/>
    <s v="22/10/2023"/>
    <x v="1"/>
  </r>
  <r>
    <n v="601"/>
    <d v="2023-04-10T00:00:00"/>
    <x v="600"/>
    <x v="0"/>
    <n v="19"/>
    <s v="Clothing"/>
    <n v="1"/>
    <n v="30"/>
    <n v="30"/>
    <s v="10/04/2023"/>
    <x v="4"/>
  </r>
  <r>
    <n v="602"/>
    <d v="2023-12-23T00:00:00"/>
    <x v="601"/>
    <x v="1"/>
    <n v="20"/>
    <s v="Electronics"/>
    <n v="1"/>
    <n v="300"/>
    <n v="300"/>
    <s v="23/12/2023"/>
    <x v="4"/>
  </r>
  <r>
    <n v="603"/>
    <d v="2023-07-16T00:00:00"/>
    <x v="602"/>
    <x v="1"/>
    <n v="40"/>
    <s v="Clothing"/>
    <n v="3"/>
    <n v="30"/>
    <n v="90"/>
    <s v="16/07/2023"/>
    <x v="2"/>
  </r>
  <r>
    <n v="604"/>
    <d v="2023-09-11T00:00:00"/>
    <x v="603"/>
    <x v="1"/>
    <n v="29"/>
    <s v="Electronics"/>
    <n v="4"/>
    <n v="50"/>
    <n v="200"/>
    <s v="11/09/2023"/>
    <x v="0"/>
  </r>
  <r>
    <n v="605"/>
    <d v="2023-07-24T00:00:00"/>
    <x v="604"/>
    <x v="0"/>
    <n v="37"/>
    <s v="Electronics"/>
    <n v="2"/>
    <n v="500"/>
    <n v="1000"/>
    <s v="24/07/2023"/>
    <x v="2"/>
  </r>
  <r>
    <n v="606"/>
    <d v="2023-05-05T00:00:00"/>
    <x v="605"/>
    <x v="0"/>
    <n v="22"/>
    <s v="Electronics"/>
    <n v="1"/>
    <n v="50"/>
    <n v="50"/>
    <s v="05/05/2023"/>
    <x v="4"/>
  </r>
  <r>
    <n v="607"/>
    <d v="2023-03-17T00:00:00"/>
    <x v="606"/>
    <x v="0"/>
    <n v="54"/>
    <s v="Clothing"/>
    <n v="3"/>
    <n v="25"/>
    <n v="75"/>
    <s v="17/03/2023"/>
    <x v="1"/>
  </r>
  <r>
    <n v="608"/>
    <d v="2023-12-02T00:00:00"/>
    <x v="607"/>
    <x v="1"/>
    <n v="55"/>
    <s v="Electronics"/>
    <n v="3"/>
    <n v="500"/>
    <n v="1500"/>
    <s v="02/12/2023"/>
    <x v="1"/>
  </r>
  <r>
    <n v="609"/>
    <d v="2023-12-19T00:00:00"/>
    <x v="608"/>
    <x v="1"/>
    <n v="47"/>
    <s v="Clothing"/>
    <n v="2"/>
    <n v="50"/>
    <n v="100"/>
    <s v="19/12/2023"/>
    <x v="1"/>
  </r>
  <r>
    <n v="610"/>
    <d v="2023-01-03T00:00:00"/>
    <x v="609"/>
    <x v="1"/>
    <n v="26"/>
    <s v="Beauty"/>
    <n v="2"/>
    <n v="300"/>
    <n v="600"/>
    <s v="03/01/2023"/>
    <x v="0"/>
  </r>
  <r>
    <n v="611"/>
    <d v="2023-02-24T00:00:00"/>
    <x v="610"/>
    <x v="0"/>
    <n v="51"/>
    <s v="Beauty"/>
    <n v="3"/>
    <n v="500"/>
    <n v="1500"/>
    <s v="24/02/2023"/>
    <x v="1"/>
  </r>
  <r>
    <n v="612"/>
    <d v="2023-08-06T00:00:00"/>
    <x v="611"/>
    <x v="1"/>
    <n v="61"/>
    <s v="Electronics"/>
    <n v="1"/>
    <n v="500"/>
    <n v="500"/>
    <s v="06/08/2023"/>
    <x v="3"/>
  </r>
  <r>
    <n v="613"/>
    <d v="2023-04-23T00:00:00"/>
    <x v="612"/>
    <x v="1"/>
    <n v="52"/>
    <s v="Clothing"/>
    <n v="3"/>
    <n v="30"/>
    <n v="90"/>
    <s v="23/04/2023"/>
    <x v="1"/>
  </r>
  <r>
    <n v="614"/>
    <d v="2023-04-01T00:00:00"/>
    <x v="613"/>
    <x v="1"/>
    <n v="39"/>
    <s v="Beauty"/>
    <n v="4"/>
    <n v="300"/>
    <n v="1200"/>
    <s v="01/04/2023"/>
    <x v="2"/>
  </r>
  <r>
    <n v="615"/>
    <d v="2023-12-23T00:00:00"/>
    <x v="614"/>
    <x v="1"/>
    <n v="61"/>
    <s v="Clothing"/>
    <n v="4"/>
    <n v="25"/>
    <n v="100"/>
    <s v="23/12/2023"/>
    <x v="3"/>
  </r>
  <r>
    <n v="616"/>
    <d v="2023-09-23T00:00:00"/>
    <x v="615"/>
    <x v="0"/>
    <n v="41"/>
    <s v="Clothing"/>
    <n v="2"/>
    <n v="50"/>
    <n v="100"/>
    <s v="23/09/2023"/>
    <x v="2"/>
  </r>
  <r>
    <n v="617"/>
    <d v="2023-08-26T00:00:00"/>
    <x v="616"/>
    <x v="0"/>
    <n v="34"/>
    <s v="Electronics"/>
    <n v="1"/>
    <n v="30"/>
    <n v="30"/>
    <s v="26/08/2023"/>
    <x v="0"/>
  </r>
  <r>
    <n v="618"/>
    <d v="2023-01-26T00:00:00"/>
    <x v="617"/>
    <x v="1"/>
    <n v="27"/>
    <s v="Beauty"/>
    <n v="1"/>
    <n v="50"/>
    <n v="50"/>
    <s v="26/01/2023"/>
    <x v="0"/>
  </r>
  <r>
    <n v="619"/>
    <d v="2023-10-13T00:00:00"/>
    <x v="618"/>
    <x v="0"/>
    <n v="47"/>
    <s v="Electronics"/>
    <n v="4"/>
    <n v="25"/>
    <n v="100"/>
    <s v="13/10/2023"/>
    <x v="1"/>
  </r>
  <r>
    <n v="620"/>
    <d v="2023-05-08T00:00:00"/>
    <x v="619"/>
    <x v="0"/>
    <n v="63"/>
    <s v="Electronics"/>
    <n v="3"/>
    <n v="25"/>
    <n v="75"/>
    <s v="08/05/2023"/>
    <x v="3"/>
  </r>
  <r>
    <n v="621"/>
    <d v="2023-03-04T00:00:00"/>
    <x v="620"/>
    <x v="1"/>
    <n v="40"/>
    <s v="Beauty"/>
    <n v="2"/>
    <n v="500"/>
    <n v="1000"/>
    <s v="04/03/2023"/>
    <x v="2"/>
  </r>
  <r>
    <n v="622"/>
    <d v="2023-08-22T00:00:00"/>
    <x v="621"/>
    <x v="1"/>
    <n v="49"/>
    <s v="Beauty"/>
    <n v="3"/>
    <n v="25"/>
    <n v="75"/>
    <s v="22/08/2023"/>
    <x v="1"/>
  </r>
  <r>
    <n v="623"/>
    <d v="2023-03-10T00:00:00"/>
    <x v="622"/>
    <x v="0"/>
    <n v="34"/>
    <s v="Clothing"/>
    <n v="3"/>
    <n v="50"/>
    <n v="150"/>
    <s v="10/03/2023"/>
    <x v="0"/>
  </r>
  <r>
    <n v="624"/>
    <d v="2023-08-26T00:00:00"/>
    <x v="623"/>
    <x v="1"/>
    <n v="34"/>
    <s v="Beauty"/>
    <n v="3"/>
    <n v="300"/>
    <n v="900"/>
    <s v="26/08/2023"/>
    <x v="0"/>
  </r>
  <r>
    <n v="625"/>
    <d v="2023-12-08T00:00:00"/>
    <x v="624"/>
    <x v="0"/>
    <n v="31"/>
    <s v="Clothing"/>
    <n v="1"/>
    <n v="300"/>
    <n v="300"/>
    <s v="08/12/2023"/>
    <x v="0"/>
  </r>
  <r>
    <n v="626"/>
    <d v="2023-09-29T00:00:00"/>
    <x v="625"/>
    <x v="1"/>
    <n v="26"/>
    <s v="Clothing"/>
    <n v="4"/>
    <n v="500"/>
    <n v="2000"/>
    <s v="29/09/2023"/>
    <x v="0"/>
  </r>
  <r>
    <n v="627"/>
    <d v="2023-10-14T00:00:00"/>
    <x v="626"/>
    <x v="0"/>
    <n v="57"/>
    <s v="Clothing"/>
    <n v="1"/>
    <n v="50"/>
    <n v="50"/>
    <s v="14/10/2023"/>
    <x v="1"/>
  </r>
  <r>
    <n v="628"/>
    <d v="2023-11-01T00:00:00"/>
    <x v="627"/>
    <x v="1"/>
    <n v="19"/>
    <s v="Beauty"/>
    <n v="4"/>
    <n v="50"/>
    <n v="200"/>
    <s v="01/11/2023"/>
    <x v="4"/>
  </r>
  <r>
    <n v="629"/>
    <d v="2023-06-12T00:00:00"/>
    <x v="628"/>
    <x v="0"/>
    <n v="62"/>
    <s v="Electronics"/>
    <n v="2"/>
    <n v="25"/>
    <n v="50"/>
    <s v="12/06/2023"/>
    <x v="3"/>
  </r>
  <r>
    <n v="630"/>
    <d v="2023-08-15T00:00:00"/>
    <x v="629"/>
    <x v="0"/>
    <n v="42"/>
    <s v="Clothing"/>
    <n v="2"/>
    <n v="50"/>
    <n v="100"/>
    <s v="15/08/2023"/>
    <x v="2"/>
  </r>
  <r>
    <n v="631"/>
    <d v="2023-11-10T00:00:00"/>
    <x v="630"/>
    <x v="0"/>
    <n v="56"/>
    <s v="Electronics"/>
    <n v="3"/>
    <n v="30"/>
    <n v="90"/>
    <s v="10/11/2023"/>
    <x v="1"/>
  </r>
  <r>
    <n v="632"/>
    <d v="2023-09-16T00:00:00"/>
    <x v="631"/>
    <x v="1"/>
    <n v="26"/>
    <s v="Electronics"/>
    <n v="4"/>
    <n v="25"/>
    <n v="100"/>
    <s v="16/09/2023"/>
    <x v="0"/>
  </r>
  <r>
    <n v="633"/>
    <d v="2023-08-07T00:00:00"/>
    <x v="632"/>
    <x v="0"/>
    <n v="39"/>
    <s v="Beauty"/>
    <n v="4"/>
    <n v="30"/>
    <n v="120"/>
    <s v="07/08/2023"/>
    <x v="2"/>
  </r>
  <r>
    <n v="634"/>
    <d v="2023-10-08T00:00:00"/>
    <x v="633"/>
    <x v="0"/>
    <n v="60"/>
    <s v="Electronics"/>
    <n v="4"/>
    <n v="500"/>
    <n v="2000"/>
    <s v="08/10/2023"/>
    <x v="1"/>
  </r>
  <r>
    <n v="635"/>
    <d v="2023-08-17T00:00:00"/>
    <x v="634"/>
    <x v="1"/>
    <n v="63"/>
    <s v="Electronics"/>
    <n v="3"/>
    <n v="300"/>
    <n v="900"/>
    <s v="17/08/2023"/>
    <x v="3"/>
  </r>
  <r>
    <n v="636"/>
    <d v="2023-03-23T00:00:00"/>
    <x v="635"/>
    <x v="1"/>
    <n v="21"/>
    <s v="Beauty"/>
    <n v="3"/>
    <n v="500"/>
    <n v="1500"/>
    <s v="23/03/2023"/>
    <x v="4"/>
  </r>
  <r>
    <n v="637"/>
    <d v="2023-09-01T00:00:00"/>
    <x v="636"/>
    <x v="0"/>
    <n v="43"/>
    <s v="Clothing"/>
    <n v="2"/>
    <n v="300"/>
    <n v="600"/>
    <s v="01/09/2023"/>
    <x v="2"/>
  </r>
  <r>
    <n v="638"/>
    <d v="2023-08-19T00:00:00"/>
    <x v="637"/>
    <x v="0"/>
    <n v="46"/>
    <s v="Electronics"/>
    <n v="1"/>
    <n v="500"/>
    <n v="500"/>
    <s v="19/08/2023"/>
    <x v="1"/>
  </r>
  <r>
    <n v="639"/>
    <d v="2023-05-13T00:00:00"/>
    <x v="638"/>
    <x v="1"/>
    <n v="62"/>
    <s v="Beauty"/>
    <n v="4"/>
    <n v="50"/>
    <n v="200"/>
    <s v="13/05/2023"/>
    <x v="3"/>
  </r>
  <r>
    <n v="640"/>
    <d v="2023-05-07T00:00:00"/>
    <x v="639"/>
    <x v="1"/>
    <n v="51"/>
    <s v="Electronics"/>
    <n v="4"/>
    <n v="30"/>
    <n v="120"/>
    <s v="07/05/2023"/>
    <x v="1"/>
  </r>
  <r>
    <n v="641"/>
    <d v="2023-11-23T00:00:00"/>
    <x v="640"/>
    <x v="1"/>
    <n v="40"/>
    <s v="Electronics"/>
    <n v="1"/>
    <n v="300"/>
    <n v="300"/>
    <s v="23/11/2023"/>
    <x v="2"/>
  </r>
  <r>
    <n v="642"/>
    <d v="2023-05-22T00:00:00"/>
    <x v="641"/>
    <x v="1"/>
    <n v="54"/>
    <s v="Clothing"/>
    <n v="4"/>
    <n v="25"/>
    <n v="100"/>
    <s v="22/05/2023"/>
    <x v="1"/>
  </r>
  <r>
    <n v="643"/>
    <d v="2023-09-24T00:00:00"/>
    <x v="642"/>
    <x v="1"/>
    <n v="28"/>
    <s v="Electronics"/>
    <n v="3"/>
    <n v="30"/>
    <n v="90"/>
    <s v="24/09/2023"/>
    <x v="0"/>
  </r>
  <r>
    <n v="644"/>
    <d v="2023-09-06T00:00:00"/>
    <x v="643"/>
    <x v="0"/>
    <n v="23"/>
    <s v="Beauty"/>
    <n v="3"/>
    <n v="25"/>
    <n v="75"/>
    <s v="06/09/2023"/>
    <x v="4"/>
  </r>
  <r>
    <n v="645"/>
    <d v="2023-11-17T00:00:00"/>
    <x v="644"/>
    <x v="1"/>
    <n v="35"/>
    <s v="Electronics"/>
    <n v="4"/>
    <n v="30"/>
    <n v="120"/>
    <s v="17/11/2023"/>
    <x v="0"/>
  </r>
  <r>
    <n v="646"/>
    <d v="2023-05-03T00:00:00"/>
    <x v="645"/>
    <x v="0"/>
    <n v="38"/>
    <s v="Clothing"/>
    <n v="3"/>
    <n v="30"/>
    <n v="90"/>
    <s v="03/05/2023"/>
    <x v="2"/>
  </r>
  <r>
    <n v="647"/>
    <d v="2023-05-21T00:00:00"/>
    <x v="646"/>
    <x v="0"/>
    <n v="59"/>
    <s v="Clothing"/>
    <n v="3"/>
    <n v="500"/>
    <n v="1500"/>
    <s v="21/05/2023"/>
    <x v="1"/>
  </r>
  <r>
    <n v="648"/>
    <d v="2023-08-14T00:00:00"/>
    <x v="647"/>
    <x v="0"/>
    <n v="53"/>
    <s v="Beauty"/>
    <n v="4"/>
    <n v="300"/>
    <n v="1200"/>
    <s v="14/08/2023"/>
    <x v="1"/>
  </r>
  <r>
    <n v="649"/>
    <d v="2023-02-09T00:00:00"/>
    <x v="648"/>
    <x v="1"/>
    <n v="58"/>
    <s v="Clothing"/>
    <n v="2"/>
    <n v="300"/>
    <n v="600"/>
    <s v="09/02/2023"/>
    <x v="1"/>
  </r>
  <r>
    <n v="650"/>
    <d v="2024-01-01T00:00:00"/>
    <x v="649"/>
    <x v="0"/>
    <n v="55"/>
    <s v="Electronics"/>
    <n v="1"/>
    <n v="30"/>
    <n v="30"/>
    <s v="01/01/2024"/>
    <x v="1"/>
  </r>
  <r>
    <n v="651"/>
    <d v="2023-05-27T00:00:00"/>
    <x v="650"/>
    <x v="0"/>
    <n v="51"/>
    <s v="Clothing"/>
    <n v="3"/>
    <n v="50"/>
    <n v="150"/>
    <s v="27/05/2023"/>
    <x v="1"/>
  </r>
  <r>
    <n v="652"/>
    <d v="2023-05-01T00:00:00"/>
    <x v="651"/>
    <x v="1"/>
    <n v="34"/>
    <s v="Beauty"/>
    <n v="2"/>
    <n v="50"/>
    <n v="100"/>
    <s v="01/05/2023"/>
    <x v="0"/>
  </r>
  <r>
    <n v="653"/>
    <d v="2023-05-20T00:00:00"/>
    <x v="652"/>
    <x v="0"/>
    <n v="54"/>
    <s v="Clothing"/>
    <n v="3"/>
    <n v="25"/>
    <n v="75"/>
    <s v="20/05/2023"/>
    <x v="1"/>
  </r>
  <r>
    <n v="654"/>
    <d v="2023-06-21T00:00:00"/>
    <x v="653"/>
    <x v="0"/>
    <n v="42"/>
    <s v="Clothing"/>
    <n v="3"/>
    <n v="25"/>
    <n v="75"/>
    <s v="21/06/2023"/>
    <x v="2"/>
  </r>
  <r>
    <n v="655"/>
    <d v="2023-06-13T00:00:00"/>
    <x v="654"/>
    <x v="1"/>
    <n v="55"/>
    <s v="Clothing"/>
    <n v="1"/>
    <n v="500"/>
    <n v="500"/>
    <s v="13/06/2023"/>
    <x v="1"/>
  </r>
  <r>
    <n v="656"/>
    <d v="2023-10-04T00:00:00"/>
    <x v="655"/>
    <x v="0"/>
    <n v="29"/>
    <s v="Beauty"/>
    <n v="3"/>
    <n v="30"/>
    <n v="90"/>
    <s v="04/10/2023"/>
    <x v="0"/>
  </r>
  <r>
    <n v="657"/>
    <d v="2023-02-11T00:00:00"/>
    <x v="656"/>
    <x v="0"/>
    <n v="40"/>
    <s v="Clothing"/>
    <n v="1"/>
    <n v="25"/>
    <n v="25"/>
    <s v="11/02/2023"/>
    <x v="2"/>
  </r>
  <r>
    <n v="658"/>
    <d v="2023-03-12T00:00:00"/>
    <x v="657"/>
    <x v="0"/>
    <n v="59"/>
    <s v="Clothing"/>
    <n v="1"/>
    <n v="25"/>
    <n v="25"/>
    <s v="12/03/2023"/>
    <x v="1"/>
  </r>
  <r>
    <n v="659"/>
    <d v="2023-03-19T00:00:00"/>
    <x v="658"/>
    <x v="1"/>
    <n v="39"/>
    <s v="Electronics"/>
    <n v="1"/>
    <n v="30"/>
    <n v="30"/>
    <s v="19/03/2023"/>
    <x v="2"/>
  </r>
  <r>
    <n v="660"/>
    <d v="2023-04-29T00:00:00"/>
    <x v="659"/>
    <x v="1"/>
    <n v="38"/>
    <s v="Beauty"/>
    <n v="2"/>
    <n v="500"/>
    <n v="1000"/>
    <s v="29/04/2023"/>
    <x v="2"/>
  </r>
  <r>
    <n v="661"/>
    <d v="2023-07-16T00:00:00"/>
    <x v="660"/>
    <x v="1"/>
    <n v="44"/>
    <s v="Clothing"/>
    <n v="4"/>
    <n v="25"/>
    <n v="100"/>
    <s v="16/07/2023"/>
    <x v="2"/>
  </r>
  <r>
    <n v="662"/>
    <d v="2023-12-22T00:00:00"/>
    <x v="661"/>
    <x v="0"/>
    <n v="48"/>
    <s v="Beauty"/>
    <n v="2"/>
    <n v="500"/>
    <n v="1000"/>
    <s v="22/12/2023"/>
    <x v="1"/>
  </r>
  <r>
    <n v="663"/>
    <d v="2023-03-20T00:00:00"/>
    <x v="662"/>
    <x v="0"/>
    <n v="23"/>
    <s v="Clothing"/>
    <n v="4"/>
    <n v="300"/>
    <n v="1200"/>
    <s v="20/03/2023"/>
    <x v="4"/>
  </r>
  <r>
    <n v="664"/>
    <d v="2023-12-28T00:00:00"/>
    <x v="663"/>
    <x v="1"/>
    <n v="44"/>
    <s v="Clothing"/>
    <n v="4"/>
    <n v="500"/>
    <n v="2000"/>
    <s v="28/12/2023"/>
    <x v="2"/>
  </r>
  <r>
    <n v="665"/>
    <d v="2023-04-20T00:00:00"/>
    <x v="664"/>
    <x v="0"/>
    <n v="57"/>
    <s v="Clothing"/>
    <n v="1"/>
    <n v="50"/>
    <n v="50"/>
    <s v="20/04/2023"/>
    <x v="1"/>
  </r>
  <r>
    <n v="666"/>
    <d v="2023-02-02T00:00:00"/>
    <x v="665"/>
    <x v="0"/>
    <n v="51"/>
    <s v="Electronics"/>
    <n v="3"/>
    <n v="50"/>
    <n v="150"/>
    <s v="02/02/2023"/>
    <x v="1"/>
  </r>
  <r>
    <n v="667"/>
    <d v="2023-08-01T00:00:00"/>
    <x v="666"/>
    <x v="1"/>
    <n v="29"/>
    <s v="Electronics"/>
    <n v="1"/>
    <n v="500"/>
    <n v="500"/>
    <s v="01/08/2023"/>
    <x v="0"/>
  </r>
  <r>
    <n v="668"/>
    <d v="2023-07-28T00:00:00"/>
    <x v="667"/>
    <x v="1"/>
    <n v="62"/>
    <s v="Electronics"/>
    <n v="3"/>
    <n v="50"/>
    <n v="150"/>
    <s v="28/07/2023"/>
    <x v="3"/>
  </r>
  <r>
    <n v="669"/>
    <d v="2023-06-19T00:00:00"/>
    <x v="668"/>
    <x v="0"/>
    <n v="24"/>
    <s v="Beauty"/>
    <n v="4"/>
    <n v="300"/>
    <n v="1200"/>
    <s v="19/06/2023"/>
    <x v="4"/>
  </r>
  <r>
    <n v="670"/>
    <d v="2023-10-05T00:00:00"/>
    <x v="669"/>
    <x v="0"/>
    <n v="27"/>
    <s v="Beauty"/>
    <n v="1"/>
    <n v="30"/>
    <n v="30"/>
    <s v="05/10/2023"/>
    <x v="0"/>
  </r>
  <r>
    <n v="671"/>
    <d v="2023-08-27T00:00:00"/>
    <x v="670"/>
    <x v="0"/>
    <n v="62"/>
    <s v="Electronics"/>
    <n v="3"/>
    <n v="50"/>
    <n v="150"/>
    <s v="27/08/2023"/>
    <x v="3"/>
  </r>
  <r>
    <n v="672"/>
    <d v="2023-08-01T00:00:00"/>
    <x v="671"/>
    <x v="1"/>
    <n v="34"/>
    <s v="Beauty"/>
    <n v="2"/>
    <n v="50"/>
    <n v="100"/>
    <s v="01/08/2023"/>
    <x v="0"/>
  </r>
  <r>
    <n v="673"/>
    <d v="2023-02-01T00:00:00"/>
    <x v="672"/>
    <x v="1"/>
    <n v="43"/>
    <s v="Clothing"/>
    <n v="3"/>
    <n v="500"/>
    <n v="1500"/>
    <s v="01/02/2023"/>
    <x v="2"/>
  </r>
  <r>
    <n v="674"/>
    <d v="2023-04-16T00:00:00"/>
    <x v="673"/>
    <x v="1"/>
    <n v="38"/>
    <s v="Clothing"/>
    <n v="1"/>
    <n v="300"/>
    <n v="300"/>
    <s v="16/04/2023"/>
    <x v="2"/>
  </r>
  <r>
    <n v="675"/>
    <d v="2023-08-04T00:00:00"/>
    <x v="674"/>
    <x v="1"/>
    <n v="45"/>
    <s v="Clothing"/>
    <n v="2"/>
    <n v="30"/>
    <n v="60"/>
    <s v="04/08/2023"/>
    <x v="2"/>
  </r>
  <r>
    <n v="676"/>
    <d v="2023-07-19T00:00:00"/>
    <x v="675"/>
    <x v="0"/>
    <n v="63"/>
    <s v="Electronics"/>
    <n v="3"/>
    <n v="500"/>
    <n v="1500"/>
    <s v="19/07/2023"/>
    <x v="3"/>
  </r>
  <r>
    <n v="677"/>
    <d v="2023-10-27T00:00:00"/>
    <x v="676"/>
    <x v="1"/>
    <n v="19"/>
    <s v="Beauty"/>
    <n v="3"/>
    <n v="500"/>
    <n v="1500"/>
    <s v="27/10/2023"/>
    <x v="4"/>
  </r>
  <r>
    <n v="678"/>
    <d v="2023-12-23T00:00:00"/>
    <x v="677"/>
    <x v="1"/>
    <n v="60"/>
    <s v="Electronics"/>
    <n v="3"/>
    <n v="300"/>
    <n v="900"/>
    <s v="23/12/2023"/>
    <x v="1"/>
  </r>
  <r>
    <n v="679"/>
    <d v="2023-01-11T00:00:00"/>
    <x v="678"/>
    <x v="1"/>
    <n v="18"/>
    <s v="Beauty"/>
    <n v="3"/>
    <n v="30"/>
    <n v="90"/>
    <s v="11/01/2023"/>
    <x v="4"/>
  </r>
  <r>
    <n v="680"/>
    <d v="2023-10-22T00:00:00"/>
    <x v="679"/>
    <x v="1"/>
    <n v="53"/>
    <s v="Clothing"/>
    <n v="3"/>
    <n v="300"/>
    <n v="900"/>
    <s v="22/10/2023"/>
    <x v="1"/>
  </r>
  <r>
    <n v="681"/>
    <d v="2023-07-14T00:00:00"/>
    <x v="680"/>
    <x v="1"/>
    <n v="43"/>
    <s v="Electronics"/>
    <n v="2"/>
    <n v="30"/>
    <n v="60"/>
    <s v="14/07/2023"/>
    <x v="2"/>
  </r>
  <r>
    <n v="682"/>
    <d v="2023-09-02T00:00:00"/>
    <x v="681"/>
    <x v="0"/>
    <n v="46"/>
    <s v="Beauty"/>
    <n v="4"/>
    <n v="300"/>
    <n v="1200"/>
    <s v="02/09/2023"/>
    <x v="1"/>
  </r>
  <r>
    <n v="683"/>
    <d v="2023-01-04T00:00:00"/>
    <x v="682"/>
    <x v="0"/>
    <n v="38"/>
    <s v="Beauty"/>
    <n v="2"/>
    <n v="500"/>
    <n v="1000"/>
    <s v="04/01/2023"/>
    <x v="2"/>
  </r>
  <r>
    <n v="684"/>
    <d v="2023-06-30T00:00:00"/>
    <x v="683"/>
    <x v="1"/>
    <n v="28"/>
    <s v="Clothing"/>
    <n v="2"/>
    <n v="500"/>
    <n v="1000"/>
    <s v="30/06/2023"/>
    <x v="0"/>
  </r>
  <r>
    <n v="685"/>
    <d v="2023-06-02T00:00:00"/>
    <x v="684"/>
    <x v="0"/>
    <n v="57"/>
    <s v="Electronics"/>
    <n v="2"/>
    <n v="25"/>
    <n v="50"/>
    <s v="02/06/2023"/>
    <x v="1"/>
  </r>
  <r>
    <n v="686"/>
    <d v="2023-07-19T00:00:00"/>
    <x v="685"/>
    <x v="1"/>
    <n v="28"/>
    <s v="Electronics"/>
    <n v="4"/>
    <n v="50"/>
    <n v="200"/>
    <s v="19/07/2023"/>
    <x v="0"/>
  </r>
  <r>
    <n v="687"/>
    <d v="2023-08-03T00:00:00"/>
    <x v="686"/>
    <x v="1"/>
    <n v="53"/>
    <s v="Electronics"/>
    <n v="1"/>
    <n v="300"/>
    <n v="300"/>
    <s v="03/08/2023"/>
    <x v="1"/>
  </r>
  <r>
    <n v="688"/>
    <d v="2023-10-03T00:00:00"/>
    <x v="687"/>
    <x v="0"/>
    <n v="56"/>
    <s v="Clothing"/>
    <n v="4"/>
    <n v="25"/>
    <n v="100"/>
    <s v="03/10/2023"/>
    <x v="1"/>
  </r>
  <r>
    <n v="689"/>
    <d v="2023-10-07T00:00:00"/>
    <x v="688"/>
    <x v="0"/>
    <n v="57"/>
    <s v="Electronics"/>
    <n v="2"/>
    <n v="50"/>
    <n v="100"/>
    <s v="07/10/2023"/>
    <x v="1"/>
  </r>
  <r>
    <n v="690"/>
    <d v="2023-11-05T00:00:00"/>
    <x v="689"/>
    <x v="1"/>
    <n v="52"/>
    <s v="Clothing"/>
    <n v="3"/>
    <n v="300"/>
    <n v="900"/>
    <s v="05/11/2023"/>
    <x v="1"/>
  </r>
  <r>
    <n v="691"/>
    <d v="2023-04-23T00:00:00"/>
    <x v="690"/>
    <x v="1"/>
    <n v="51"/>
    <s v="Clothing"/>
    <n v="3"/>
    <n v="30"/>
    <n v="90"/>
    <s v="23/04/2023"/>
    <x v="1"/>
  </r>
  <r>
    <n v="692"/>
    <d v="2023-09-07T00:00:00"/>
    <x v="691"/>
    <x v="1"/>
    <n v="64"/>
    <s v="Clothing"/>
    <n v="2"/>
    <n v="50"/>
    <n v="100"/>
    <s v="07/09/2023"/>
    <x v="3"/>
  </r>
  <r>
    <n v="693"/>
    <d v="2023-04-23T00:00:00"/>
    <x v="692"/>
    <x v="0"/>
    <n v="41"/>
    <s v="Beauty"/>
    <n v="3"/>
    <n v="500"/>
    <n v="1500"/>
    <s v="23/04/2023"/>
    <x v="2"/>
  </r>
  <r>
    <n v="694"/>
    <d v="2023-05-20T00:00:00"/>
    <x v="693"/>
    <x v="1"/>
    <n v="39"/>
    <s v="Electronics"/>
    <n v="2"/>
    <n v="25"/>
    <n v="50"/>
    <s v="20/05/2023"/>
    <x v="2"/>
  </r>
  <r>
    <n v="695"/>
    <d v="2023-08-12T00:00:00"/>
    <x v="694"/>
    <x v="1"/>
    <n v="22"/>
    <s v="Electronics"/>
    <n v="3"/>
    <n v="50"/>
    <n v="150"/>
    <s v="12/08/2023"/>
    <x v="4"/>
  </r>
  <r>
    <n v="696"/>
    <d v="2023-09-06T00:00:00"/>
    <x v="695"/>
    <x v="1"/>
    <n v="50"/>
    <s v="Clothing"/>
    <n v="4"/>
    <n v="50"/>
    <n v="200"/>
    <s v="06/09/2023"/>
    <x v="1"/>
  </r>
  <r>
    <n v="697"/>
    <d v="2023-01-15T00:00:00"/>
    <x v="696"/>
    <x v="0"/>
    <n v="53"/>
    <s v="Clothing"/>
    <n v="1"/>
    <n v="500"/>
    <n v="500"/>
    <s v="15/01/2023"/>
    <x v="1"/>
  </r>
  <r>
    <n v="698"/>
    <d v="2023-07-19T00:00:00"/>
    <x v="697"/>
    <x v="1"/>
    <n v="64"/>
    <s v="Electronics"/>
    <n v="1"/>
    <n v="300"/>
    <n v="300"/>
    <s v="19/07/2023"/>
    <x v="3"/>
  </r>
  <r>
    <n v="699"/>
    <d v="2023-06-22T00:00:00"/>
    <x v="698"/>
    <x v="1"/>
    <n v="37"/>
    <s v="Clothing"/>
    <n v="4"/>
    <n v="30"/>
    <n v="120"/>
    <s v="22/06/2023"/>
    <x v="2"/>
  </r>
  <r>
    <n v="700"/>
    <d v="2023-12-09T00:00:00"/>
    <x v="699"/>
    <x v="0"/>
    <n v="36"/>
    <s v="Electronics"/>
    <n v="4"/>
    <n v="500"/>
    <n v="2000"/>
    <s v="09/12/2023"/>
    <x v="2"/>
  </r>
  <r>
    <n v="701"/>
    <d v="2023-12-14T00:00:00"/>
    <x v="700"/>
    <x v="1"/>
    <n v="52"/>
    <s v="Beauty"/>
    <n v="2"/>
    <n v="30"/>
    <n v="60"/>
    <s v="14/12/2023"/>
    <x v="1"/>
  </r>
  <r>
    <n v="702"/>
    <d v="2023-07-27T00:00:00"/>
    <x v="701"/>
    <x v="1"/>
    <n v="60"/>
    <s v="Clothing"/>
    <n v="2"/>
    <n v="300"/>
    <n v="600"/>
    <s v="27/07/2023"/>
    <x v="1"/>
  </r>
  <r>
    <n v="703"/>
    <d v="2023-03-26T00:00:00"/>
    <x v="702"/>
    <x v="0"/>
    <n v="34"/>
    <s v="Electronics"/>
    <n v="2"/>
    <n v="50"/>
    <n v="100"/>
    <s v="26/03/2023"/>
    <x v="0"/>
  </r>
  <r>
    <n v="704"/>
    <d v="2023-08-28T00:00:00"/>
    <x v="703"/>
    <x v="1"/>
    <n v="62"/>
    <s v="Clothing"/>
    <n v="3"/>
    <n v="30"/>
    <n v="90"/>
    <s v="28/08/2023"/>
    <x v="3"/>
  </r>
  <r>
    <n v="705"/>
    <d v="2023-03-07T00:00:00"/>
    <x v="704"/>
    <x v="0"/>
    <n v="60"/>
    <s v="Electronics"/>
    <n v="2"/>
    <n v="25"/>
    <n v="50"/>
    <s v="07/03/2023"/>
    <x v="1"/>
  </r>
  <r>
    <n v="706"/>
    <d v="2023-11-15T00:00:00"/>
    <x v="705"/>
    <x v="0"/>
    <n v="51"/>
    <s v="Electronics"/>
    <n v="4"/>
    <n v="25"/>
    <n v="100"/>
    <s v="15/11/2023"/>
    <x v="1"/>
  </r>
  <r>
    <n v="707"/>
    <d v="2023-10-01T00:00:00"/>
    <x v="706"/>
    <x v="1"/>
    <n v="26"/>
    <s v="Clothing"/>
    <n v="1"/>
    <n v="500"/>
    <n v="500"/>
    <s v="01/10/2023"/>
    <x v="0"/>
  </r>
  <r>
    <n v="708"/>
    <d v="2023-01-14T00:00:00"/>
    <x v="707"/>
    <x v="1"/>
    <n v="43"/>
    <s v="Beauty"/>
    <n v="3"/>
    <n v="300"/>
    <n v="900"/>
    <s v="14/01/2023"/>
    <x v="2"/>
  </r>
  <r>
    <n v="709"/>
    <d v="2023-07-21T00:00:00"/>
    <x v="708"/>
    <x v="1"/>
    <n v="19"/>
    <s v="Electronics"/>
    <n v="2"/>
    <n v="500"/>
    <n v="1000"/>
    <s v="21/07/2023"/>
    <x v="4"/>
  </r>
  <r>
    <n v="710"/>
    <d v="2023-10-31T00:00:00"/>
    <x v="709"/>
    <x v="1"/>
    <n v="26"/>
    <s v="Electronics"/>
    <n v="3"/>
    <n v="500"/>
    <n v="1500"/>
    <s v="31/10/2023"/>
    <x v="0"/>
  </r>
  <r>
    <n v="711"/>
    <d v="2023-10-16T00:00:00"/>
    <x v="710"/>
    <x v="0"/>
    <n v="26"/>
    <s v="Electronics"/>
    <n v="3"/>
    <n v="500"/>
    <n v="1500"/>
    <s v="16/10/2023"/>
    <x v="0"/>
  </r>
  <r>
    <n v="712"/>
    <d v="2023-12-06T00:00:00"/>
    <x v="711"/>
    <x v="1"/>
    <n v="57"/>
    <s v="Beauty"/>
    <n v="2"/>
    <n v="25"/>
    <n v="50"/>
    <s v="06/12/2023"/>
    <x v="1"/>
  </r>
  <r>
    <n v="713"/>
    <d v="2023-01-14T00:00:00"/>
    <x v="712"/>
    <x v="0"/>
    <n v="34"/>
    <s v="Beauty"/>
    <n v="3"/>
    <n v="25"/>
    <n v="75"/>
    <s v="14/01/2023"/>
    <x v="0"/>
  </r>
  <r>
    <n v="714"/>
    <d v="2023-02-12T00:00:00"/>
    <x v="713"/>
    <x v="1"/>
    <n v="18"/>
    <s v="Clothing"/>
    <n v="1"/>
    <n v="500"/>
    <n v="500"/>
    <s v="12/02/2023"/>
    <x v="4"/>
  </r>
  <r>
    <n v="715"/>
    <d v="2023-11-26T00:00:00"/>
    <x v="714"/>
    <x v="1"/>
    <n v="42"/>
    <s v="Beauty"/>
    <n v="4"/>
    <n v="25"/>
    <n v="100"/>
    <s v="26/11/2023"/>
    <x v="2"/>
  </r>
  <r>
    <n v="716"/>
    <d v="2023-08-08T00:00:00"/>
    <x v="715"/>
    <x v="1"/>
    <n v="60"/>
    <s v="Clothing"/>
    <n v="4"/>
    <n v="300"/>
    <n v="1200"/>
    <s v="08/08/2023"/>
    <x v="1"/>
  </r>
  <r>
    <n v="717"/>
    <d v="2023-03-11T00:00:00"/>
    <x v="716"/>
    <x v="0"/>
    <n v="57"/>
    <s v="Clothing"/>
    <n v="1"/>
    <n v="500"/>
    <n v="500"/>
    <s v="11/03/2023"/>
    <x v="1"/>
  </r>
  <r>
    <n v="718"/>
    <d v="2023-08-25T00:00:00"/>
    <x v="717"/>
    <x v="1"/>
    <n v="59"/>
    <s v="Beauty"/>
    <n v="3"/>
    <n v="25"/>
    <n v="75"/>
    <s v="25/08/2023"/>
    <x v="1"/>
  </r>
  <r>
    <n v="719"/>
    <d v="2023-04-04T00:00:00"/>
    <x v="718"/>
    <x v="1"/>
    <n v="42"/>
    <s v="Clothing"/>
    <n v="2"/>
    <n v="30"/>
    <n v="60"/>
    <s v="04/04/2023"/>
    <x v="2"/>
  </r>
  <r>
    <n v="720"/>
    <d v="2023-01-26T00:00:00"/>
    <x v="719"/>
    <x v="1"/>
    <n v="56"/>
    <s v="Beauty"/>
    <n v="3"/>
    <n v="500"/>
    <n v="1500"/>
    <s v="26/01/2023"/>
    <x v="1"/>
  </r>
  <r>
    <n v="721"/>
    <d v="2023-05-14T00:00:00"/>
    <x v="720"/>
    <x v="1"/>
    <n v="52"/>
    <s v="Clothing"/>
    <n v="1"/>
    <n v="500"/>
    <n v="500"/>
    <s v="14/05/2023"/>
    <x v="1"/>
  </r>
  <r>
    <n v="722"/>
    <d v="2023-07-14T00:00:00"/>
    <x v="721"/>
    <x v="0"/>
    <n v="20"/>
    <s v="Beauty"/>
    <n v="3"/>
    <n v="300"/>
    <n v="900"/>
    <s v="14/07/2023"/>
    <x v="4"/>
  </r>
  <r>
    <n v="723"/>
    <d v="2023-06-17T00:00:00"/>
    <x v="722"/>
    <x v="1"/>
    <n v="54"/>
    <s v="Beauty"/>
    <n v="4"/>
    <n v="50"/>
    <n v="200"/>
    <s v="17/06/2023"/>
    <x v="1"/>
  </r>
  <r>
    <n v="724"/>
    <d v="2023-04-19T00:00:00"/>
    <x v="723"/>
    <x v="0"/>
    <n v="61"/>
    <s v="Clothing"/>
    <n v="3"/>
    <n v="50"/>
    <n v="150"/>
    <s v="19/04/2023"/>
    <x v="3"/>
  </r>
  <r>
    <n v="725"/>
    <d v="2023-08-21T00:00:00"/>
    <x v="724"/>
    <x v="0"/>
    <n v="61"/>
    <s v="Electronics"/>
    <n v="1"/>
    <n v="300"/>
    <n v="300"/>
    <s v="21/08/2023"/>
    <x v="3"/>
  </r>
  <r>
    <n v="726"/>
    <d v="2023-06-17T00:00:00"/>
    <x v="725"/>
    <x v="0"/>
    <n v="47"/>
    <s v="Clothing"/>
    <n v="4"/>
    <n v="300"/>
    <n v="1200"/>
    <s v="17/06/2023"/>
    <x v="1"/>
  </r>
  <r>
    <n v="727"/>
    <d v="2023-06-22T00:00:00"/>
    <x v="726"/>
    <x v="0"/>
    <n v="55"/>
    <s v="Beauty"/>
    <n v="3"/>
    <n v="300"/>
    <n v="900"/>
    <s v="22/06/2023"/>
    <x v="1"/>
  </r>
  <r>
    <n v="728"/>
    <d v="2023-07-14T00:00:00"/>
    <x v="727"/>
    <x v="0"/>
    <n v="51"/>
    <s v="Electronics"/>
    <n v="3"/>
    <n v="50"/>
    <n v="150"/>
    <s v="14/07/2023"/>
    <x v="1"/>
  </r>
  <r>
    <n v="729"/>
    <d v="2023-05-23T00:00:00"/>
    <x v="728"/>
    <x v="0"/>
    <n v="29"/>
    <s v="Clothing"/>
    <n v="4"/>
    <n v="300"/>
    <n v="1200"/>
    <s v="23/05/2023"/>
    <x v="0"/>
  </r>
  <r>
    <n v="730"/>
    <d v="2023-08-04T00:00:00"/>
    <x v="729"/>
    <x v="1"/>
    <n v="36"/>
    <s v="Clothing"/>
    <n v="2"/>
    <n v="25"/>
    <n v="50"/>
    <s v="04/08/2023"/>
    <x v="2"/>
  </r>
  <r>
    <n v="731"/>
    <d v="2023-05-10T00:00:00"/>
    <x v="730"/>
    <x v="0"/>
    <n v="54"/>
    <s v="Clothing"/>
    <n v="4"/>
    <n v="500"/>
    <n v="2000"/>
    <s v="10/05/2023"/>
    <x v="1"/>
  </r>
  <r>
    <n v="732"/>
    <d v="2023-02-11T00:00:00"/>
    <x v="731"/>
    <x v="0"/>
    <n v="61"/>
    <s v="Electronics"/>
    <n v="2"/>
    <n v="500"/>
    <n v="1000"/>
    <s v="11/02/2023"/>
    <x v="3"/>
  </r>
  <r>
    <n v="733"/>
    <d v="2023-08-29T00:00:00"/>
    <x v="732"/>
    <x v="0"/>
    <n v="34"/>
    <s v="Beauty"/>
    <n v="1"/>
    <n v="30"/>
    <n v="30"/>
    <s v="29/08/2023"/>
    <x v="0"/>
  </r>
  <r>
    <n v="734"/>
    <d v="2023-01-10T00:00:00"/>
    <x v="733"/>
    <x v="1"/>
    <n v="27"/>
    <s v="Clothing"/>
    <n v="1"/>
    <n v="30"/>
    <n v="30"/>
    <s v="10/01/2023"/>
    <x v="0"/>
  </r>
  <r>
    <n v="735"/>
    <d v="2023-10-04T00:00:00"/>
    <x v="734"/>
    <x v="1"/>
    <n v="64"/>
    <s v="Clothing"/>
    <n v="4"/>
    <n v="500"/>
    <n v="2000"/>
    <s v="04/10/2023"/>
    <x v="3"/>
  </r>
  <r>
    <n v="736"/>
    <d v="2023-01-27T00:00:00"/>
    <x v="735"/>
    <x v="0"/>
    <n v="29"/>
    <s v="Clothing"/>
    <n v="4"/>
    <n v="25"/>
    <n v="100"/>
    <s v="27/01/2023"/>
    <x v="0"/>
  </r>
  <r>
    <n v="737"/>
    <d v="2023-06-29T00:00:00"/>
    <x v="736"/>
    <x v="1"/>
    <n v="33"/>
    <s v="Clothing"/>
    <n v="1"/>
    <n v="50"/>
    <n v="50"/>
    <s v="29/06/2023"/>
    <x v="0"/>
  </r>
  <r>
    <n v="738"/>
    <d v="2023-04-25T00:00:00"/>
    <x v="737"/>
    <x v="0"/>
    <n v="41"/>
    <s v="Clothing"/>
    <n v="2"/>
    <n v="50"/>
    <n v="100"/>
    <s v="25/04/2023"/>
    <x v="2"/>
  </r>
  <r>
    <n v="739"/>
    <d v="2023-11-29T00:00:00"/>
    <x v="738"/>
    <x v="0"/>
    <n v="36"/>
    <s v="Beauty"/>
    <n v="1"/>
    <n v="25"/>
    <n v="25"/>
    <s v="29/11/2023"/>
    <x v="2"/>
  </r>
  <r>
    <n v="740"/>
    <d v="2023-02-05T00:00:00"/>
    <x v="739"/>
    <x v="1"/>
    <n v="25"/>
    <s v="Beauty"/>
    <n v="4"/>
    <n v="50"/>
    <n v="200"/>
    <s v="05/02/2023"/>
    <x v="4"/>
  </r>
  <r>
    <n v="741"/>
    <d v="2023-11-30T00:00:00"/>
    <x v="740"/>
    <x v="0"/>
    <n v="48"/>
    <s v="Clothing"/>
    <n v="1"/>
    <n v="300"/>
    <n v="300"/>
    <s v="30/11/2023"/>
    <x v="1"/>
  </r>
  <r>
    <n v="742"/>
    <d v="2023-01-21T00:00:00"/>
    <x v="741"/>
    <x v="1"/>
    <n v="38"/>
    <s v="Electronics"/>
    <n v="4"/>
    <n v="500"/>
    <n v="2000"/>
    <s v="21/01/2023"/>
    <x v="2"/>
  </r>
  <r>
    <n v="743"/>
    <d v="2023-01-16T00:00:00"/>
    <x v="742"/>
    <x v="1"/>
    <n v="34"/>
    <s v="Beauty"/>
    <n v="4"/>
    <n v="500"/>
    <n v="2000"/>
    <s v="16/01/2023"/>
    <x v="0"/>
  </r>
  <r>
    <n v="744"/>
    <d v="2023-05-07T00:00:00"/>
    <x v="743"/>
    <x v="0"/>
    <n v="40"/>
    <s v="Electronics"/>
    <n v="1"/>
    <n v="25"/>
    <n v="25"/>
    <s v="07/05/2023"/>
    <x v="2"/>
  </r>
  <r>
    <n v="745"/>
    <d v="2023-04-13T00:00:00"/>
    <x v="744"/>
    <x v="0"/>
    <n v="54"/>
    <s v="Beauty"/>
    <n v="2"/>
    <n v="50"/>
    <n v="100"/>
    <s v="13/04/2023"/>
    <x v="1"/>
  </r>
  <r>
    <n v="746"/>
    <d v="2023-01-11T00:00:00"/>
    <x v="745"/>
    <x v="1"/>
    <n v="33"/>
    <s v="Clothing"/>
    <n v="3"/>
    <n v="30"/>
    <n v="90"/>
    <s v="11/01/2023"/>
    <x v="0"/>
  </r>
  <r>
    <n v="747"/>
    <d v="2023-11-15T00:00:00"/>
    <x v="746"/>
    <x v="0"/>
    <n v="23"/>
    <s v="Beauty"/>
    <n v="1"/>
    <n v="30"/>
    <n v="30"/>
    <s v="15/11/2023"/>
    <x v="4"/>
  </r>
  <r>
    <n v="748"/>
    <d v="2023-03-20T00:00:00"/>
    <x v="747"/>
    <x v="0"/>
    <n v="25"/>
    <s v="Clothing"/>
    <n v="3"/>
    <n v="50"/>
    <n v="150"/>
    <s v="20/03/2023"/>
    <x v="4"/>
  </r>
  <r>
    <n v="749"/>
    <d v="2023-05-03T00:00:00"/>
    <x v="748"/>
    <x v="0"/>
    <n v="42"/>
    <s v="Beauty"/>
    <n v="1"/>
    <n v="30"/>
    <n v="30"/>
    <s v="03/05/2023"/>
    <x v="2"/>
  </r>
  <r>
    <n v="750"/>
    <d v="2023-03-06T00:00:00"/>
    <x v="749"/>
    <x v="1"/>
    <n v="35"/>
    <s v="Clothing"/>
    <n v="3"/>
    <n v="25"/>
    <n v="75"/>
    <s v="06/03/2023"/>
    <x v="0"/>
  </r>
  <r>
    <n v="751"/>
    <d v="2023-08-31T00:00:00"/>
    <x v="750"/>
    <x v="1"/>
    <n v="42"/>
    <s v="Clothing"/>
    <n v="2"/>
    <n v="25"/>
    <n v="50"/>
    <s v="31/08/2023"/>
    <x v="2"/>
  </r>
  <r>
    <n v="752"/>
    <d v="2023-12-09T00:00:00"/>
    <x v="751"/>
    <x v="0"/>
    <n v="29"/>
    <s v="Clothing"/>
    <n v="2"/>
    <n v="50"/>
    <n v="100"/>
    <s v="09/12/2023"/>
    <x v="0"/>
  </r>
  <r>
    <n v="753"/>
    <d v="2023-02-28T00:00:00"/>
    <x v="752"/>
    <x v="1"/>
    <n v="32"/>
    <s v="Clothing"/>
    <n v="1"/>
    <n v="30"/>
    <n v="30"/>
    <s v="28/02/2023"/>
    <x v="0"/>
  </r>
  <r>
    <n v="754"/>
    <d v="2023-10-16T00:00:00"/>
    <x v="753"/>
    <x v="1"/>
    <n v="43"/>
    <s v="Electronics"/>
    <n v="4"/>
    <n v="25"/>
    <n v="100"/>
    <s v="16/10/2023"/>
    <x v="2"/>
  </r>
  <r>
    <n v="755"/>
    <d v="2023-04-22T00:00:00"/>
    <x v="754"/>
    <x v="1"/>
    <n v="58"/>
    <s v="Clothing"/>
    <n v="3"/>
    <n v="25"/>
    <n v="75"/>
    <s v="22/04/2023"/>
    <x v="1"/>
  </r>
  <r>
    <n v="756"/>
    <d v="2023-08-27T00:00:00"/>
    <x v="755"/>
    <x v="1"/>
    <n v="62"/>
    <s v="Electronics"/>
    <n v="4"/>
    <n v="300"/>
    <n v="1200"/>
    <s v="27/08/2023"/>
    <x v="3"/>
  </r>
  <r>
    <n v="757"/>
    <d v="2023-12-25T00:00:00"/>
    <x v="756"/>
    <x v="1"/>
    <n v="43"/>
    <s v="Electronics"/>
    <n v="4"/>
    <n v="300"/>
    <n v="1200"/>
    <s v="25/12/2023"/>
    <x v="2"/>
  </r>
  <r>
    <n v="758"/>
    <d v="2023-05-12T00:00:00"/>
    <x v="757"/>
    <x v="0"/>
    <n v="64"/>
    <s v="Clothing"/>
    <n v="4"/>
    <n v="25"/>
    <n v="100"/>
    <s v="12/05/2023"/>
    <x v="3"/>
  </r>
  <r>
    <n v="759"/>
    <d v="2023-07-08T00:00:00"/>
    <x v="758"/>
    <x v="0"/>
    <n v="49"/>
    <s v="Electronics"/>
    <n v="2"/>
    <n v="50"/>
    <n v="100"/>
    <s v="08/07/2023"/>
    <x v="1"/>
  </r>
  <r>
    <n v="760"/>
    <d v="2023-03-27T00:00:00"/>
    <x v="759"/>
    <x v="0"/>
    <n v="27"/>
    <s v="Beauty"/>
    <n v="1"/>
    <n v="500"/>
    <n v="500"/>
    <s v="27/03/2023"/>
    <x v="0"/>
  </r>
  <r>
    <n v="761"/>
    <d v="2023-11-07T00:00:00"/>
    <x v="760"/>
    <x v="1"/>
    <n v="33"/>
    <s v="Clothing"/>
    <n v="1"/>
    <n v="500"/>
    <n v="500"/>
    <s v="07/11/2023"/>
    <x v="0"/>
  </r>
  <r>
    <n v="762"/>
    <d v="2023-11-07T00:00:00"/>
    <x v="761"/>
    <x v="1"/>
    <n v="24"/>
    <s v="Electronics"/>
    <n v="2"/>
    <n v="25"/>
    <n v="50"/>
    <s v="07/11/2023"/>
    <x v="4"/>
  </r>
  <r>
    <n v="763"/>
    <d v="2023-02-28T00:00:00"/>
    <x v="762"/>
    <x v="0"/>
    <n v="34"/>
    <s v="Clothing"/>
    <n v="2"/>
    <n v="25"/>
    <n v="50"/>
    <s v="28/02/2023"/>
    <x v="0"/>
  </r>
  <r>
    <n v="764"/>
    <d v="2023-03-25T00:00:00"/>
    <x v="763"/>
    <x v="1"/>
    <n v="40"/>
    <s v="Clothing"/>
    <n v="1"/>
    <n v="25"/>
    <n v="25"/>
    <s v="25/03/2023"/>
    <x v="2"/>
  </r>
  <r>
    <n v="765"/>
    <d v="2023-06-09T00:00:00"/>
    <x v="764"/>
    <x v="0"/>
    <n v="43"/>
    <s v="Clothing"/>
    <n v="4"/>
    <n v="50"/>
    <n v="200"/>
    <s v="09/06/2023"/>
    <x v="2"/>
  </r>
  <r>
    <n v="766"/>
    <d v="2023-02-25T00:00:00"/>
    <x v="765"/>
    <x v="0"/>
    <n v="38"/>
    <s v="Electronics"/>
    <n v="3"/>
    <n v="300"/>
    <n v="900"/>
    <s v="25/02/2023"/>
    <x v="2"/>
  </r>
  <r>
    <n v="767"/>
    <d v="2023-10-24T00:00:00"/>
    <x v="766"/>
    <x v="0"/>
    <n v="39"/>
    <s v="Beauty"/>
    <n v="3"/>
    <n v="25"/>
    <n v="75"/>
    <s v="24/10/2023"/>
    <x v="2"/>
  </r>
  <r>
    <n v="768"/>
    <d v="2023-01-14T00:00:00"/>
    <x v="767"/>
    <x v="1"/>
    <n v="24"/>
    <s v="Beauty"/>
    <n v="3"/>
    <n v="25"/>
    <n v="75"/>
    <s v="14/01/2023"/>
    <x v="4"/>
  </r>
  <r>
    <n v="769"/>
    <d v="2023-06-09T00:00:00"/>
    <x v="768"/>
    <x v="1"/>
    <n v="31"/>
    <s v="Electronics"/>
    <n v="4"/>
    <n v="30"/>
    <n v="120"/>
    <s v="09/06/2023"/>
    <x v="0"/>
  </r>
  <r>
    <n v="770"/>
    <d v="2023-10-22T00:00:00"/>
    <x v="769"/>
    <x v="0"/>
    <n v="32"/>
    <s v="Clothing"/>
    <n v="1"/>
    <n v="50"/>
    <n v="50"/>
    <s v="22/10/2023"/>
    <x v="0"/>
  </r>
  <r>
    <n v="771"/>
    <d v="2023-12-13T00:00:00"/>
    <x v="770"/>
    <x v="0"/>
    <n v="24"/>
    <s v="Electronics"/>
    <n v="2"/>
    <n v="25"/>
    <n v="50"/>
    <s v="13/12/2023"/>
    <x v="4"/>
  </r>
  <r>
    <n v="772"/>
    <d v="2023-07-12T00:00:00"/>
    <x v="771"/>
    <x v="0"/>
    <n v="26"/>
    <s v="Electronics"/>
    <n v="1"/>
    <n v="30"/>
    <n v="30"/>
    <s v="12/07/2023"/>
    <x v="0"/>
  </r>
  <r>
    <n v="773"/>
    <d v="2023-07-23T00:00:00"/>
    <x v="772"/>
    <x v="0"/>
    <n v="25"/>
    <s v="Electronics"/>
    <n v="4"/>
    <n v="500"/>
    <n v="2000"/>
    <s v="23/07/2023"/>
    <x v="4"/>
  </r>
  <r>
    <n v="774"/>
    <d v="2023-04-12T00:00:00"/>
    <x v="773"/>
    <x v="1"/>
    <n v="40"/>
    <s v="Clothing"/>
    <n v="2"/>
    <n v="25"/>
    <n v="50"/>
    <s v="12/04/2023"/>
    <x v="2"/>
  </r>
  <r>
    <n v="775"/>
    <d v="2023-02-08T00:00:00"/>
    <x v="774"/>
    <x v="1"/>
    <n v="46"/>
    <s v="Electronics"/>
    <n v="4"/>
    <n v="25"/>
    <n v="100"/>
    <s v="08/02/2023"/>
    <x v="1"/>
  </r>
  <r>
    <n v="776"/>
    <d v="2023-10-31T00:00:00"/>
    <x v="775"/>
    <x v="0"/>
    <n v="35"/>
    <s v="Clothing"/>
    <n v="3"/>
    <n v="30"/>
    <n v="90"/>
    <s v="31/10/2023"/>
    <x v="0"/>
  </r>
  <r>
    <n v="777"/>
    <d v="2023-12-20T00:00:00"/>
    <x v="776"/>
    <x v="0"/>
    <n v="48"/>
    <s v="Electronics"/>
    <n v="3"/>
    <n v="50"/>
    <n v="150"/>
    <s v="20/12/2023"/>
    <x v="1"/>
  </r>
  <r>
    <n v="778"/>
    <d v="2023-11-18T00:00:00"/>
    <x v="777"/>
    <x v="1"/>
    <n v="47"/>
    <s v="Beauty"/>
    <n v="4"/>
    <n v="25"/>
    <n v="100"/>
    <s v="18/11/2023"/>
    <x v="1"/>
  </r>
  <r>
    <n v="779"/>
    <d v="2023-05-05T00:00:00"/>
    <x v="778"/>
    <x v="1"/>
    <n v="56"/>
    <s v="Electronics"/>
    <n v="2"/>
    <n v="500"/>
    <n v="1000"/>
    <s v="05/05/2023"/>
    <x v="1"/>
  </r>
  <r>
    <n v="780"/>
    <d v="2023-02-22T00:00:00"/>
    <x v="779"/>
    <x v="0"/>
    <n v="52"/>
    <s v="Electronics"/>
    <n v="2"/>
    <n v="25"/>
    <n v="50"/>
    <s v="22/02/2023"/>
    <x v="1"/>
  </r>
  <r>
    <n v="781"/>
    <d v="2023-12-23T00:00:00"/>
    <x v="780"/>
    <x v="0"/>
    <n v="35"/>
    <s v="Beauty"/>
    <n v="1"/>
    <n v="500"/>
    <n v="500"/>
    <s v="23/12/2023"/>
    <x v="0"/>
  </r>
  <r>
    <n v="782"/>
    <d v="2023-06-04T00:00:00"/>
    <x v="781"/>
    <x v="0"/>
    <n v="59"/>
    <s v="Clothing"/>
    <n v="3"/>
    <n v="300"/>
    <n v="900"/>
    <s v="04/06/2023"/>
    <x v="1"/>
  </r>
  <r>
    <n v="783"/>
    <d v="2023-12-17T00:00:00"/>
    <x v="782"/>
    <x v="1"/>
    <n v="56"/>
    <s v="Clothing"/>
    <n v="1"/>
    <n v="300"/>
    <n v="300"/>
    <s v="17/12/2023"/>
    <x v="1"/>
  </r>
  <r>
    <n v="784"/>
    <d v="2023-11-04T00:00:00"/>
    <x v="783"/>
    <x v="1"/>
    <n v="34"/>
    <s v="Electronics"/>
    <n v="1"/>
    <n v="500"/>
    <n v="500"/>
    <s v="04/11/2023"/>
    <x v="0"/>
  </r>
  <r>
    <n v="785"/>
    <d v="2023-03-03T00:00:00"/>
    <x v="784"/>
    <x v="1"/>
    <n v="31"/>
    <s v="Beauty"/>
    <n v="4"/>
    <n v="50"/>
    <n v="200"/>
    <s v="03/03/2023"/>
    <x v="0"/>
  </r>
  <r>
    <n v="786"/>
    <d v="2023-10-17T00:00:00"/>
    <x v="785"/>
    <x v="0"/>
    <n v="48"/>
    <s v="Clothing"/>
    <n v="4"/>
    <n v="25"/>
    <n v="100"/>
    <s v="17/10/2023"/>
    <x v="1"/>
  </r>
  <r>
    <n v="787"/>
    <d v="2023-01-22T00:00:00"/>
    <x v="786"/>
    <x v="0"/>
    <n v="41"/>
    <s v="Electronics"/>
    <n v="1"/>
    <n v="25"/>
    <n v="25"/>
    <s v="22/01/2023"/>
    <x v="2"/>
  </r>
  <r>
    <n v="788"/>
    <d v="2023-06-27T00:00:00"/>
    <x v="787"/>
    <x v="1"/>
    <n v="52"/>
    <s v="Beauty"/>
    <n v="3"/>
    <n v="300"/>
    <n v="900"/>
    <s v="27/06/2023"/>
    <x v="1"/>
  </r>
  <r>
    <n v="789"/>
    <d v="2023-09-30T00:00:00"/>
    <x v="788"/>
    <x v="1"/>
    <n v="61"/>
    <s v="Clothing"/>
    <n v="4"/>
    <n v="500"/>
    <n v="2000"/>
    <s v="30/09/2023"/>
    <x v="3"/>
  </r>
  <r>
    <n v="790"/>
    <d v="2023-08-08T00:00:00"/>
    <x v="789"/>
    <x v="0"/>
    <n v="62"/>
    <s v="Clothing"/>
    <n v="1"/>
    <n v="25"/>
    <n v="25"/>
    <s v="08/08/2023"/>
    <x v="3"/>
  </r>
  <r>
    <n v="791"/>
    <d v="2023-12-05T00:00:00"/>
    <x v="790"/>
    <x v="1"/>
    <n v="51"/>
    <s v="Beauty"/>
    <n v="1"/>
    <n v="25"/>
    <n v="25"/>
    <s v="05/12/2023"/>
    <x v="1"/>
  </r>
  <r>
    <n v="792"/>
    <d v="2023-07-09T00:00:00"/>
    <x v="791"/>
    <x v="1"/>
    <n v="20"/>
    <s v="Beauty"/>
    <n v="1"/>
    <n v="50"/>
    <n v="50"/>
    <s v="09/07/2023"/>
    <x v="4"/>
  </r>
  <r>
    <n v="793"/>
    <d v="2023-02-05T00:00:00"/>
    <x v="792"/>
    <x v="0"/>
    <n v="54"/>
    <s v="Beauty"/>
    <n v="1"/>
    <n v="30"/>
    <n v="30"/>
    <s v="05/02/2023"/>
    <x v="1"/>
  </r>
  <r>
    <n v="794"/>
    <d v="2023-09-17T00:00:00"/>
    <x v="793"/>
    <x v="1"/>
    <n v="60"/>
    <s v="Beauty"/>
    <n v="1"/>
    <n v="300"/>
    <n v="300"/>
    <s v="17/09/2023"/>
    <x v="1"/>
  </r>
  <r>
    <n v="795"/>
    <d v="2023-11-28T00:00:00"/>
    <x v="794"/>
    <x v="0"/>
    <n v="57"/>
    <s v="Electronics"/>
    <n v="1"/>
    <n v="300"/>
    <n v="300"/>
    <s v="28/11/2023"/>
    <x v="1"/>
  </r>
  <r>
    <n v="796"/>
    <d v="2023-06-24T00:00:00"/>
    <x v="795"/>
    <x v="0"/>
    <n v="43"/>
    <s v="Beauty"/>
    <n v="4"/>
    <n v="30"/>
    <n v="120"/>
    <s v="24/06/2023"/>
    <x v="2"/>
  </r>
  <r>
    <n v="797"/>
    <d v="2023-01-07T00:00:00"/>
    <x v="796"/>
    <x v="0"/>
    <n v="40"/>
    <s v="Clothing"/>
    <n v="3"/>
    <n v="25"/>
    <n v="75"/>
    <s v="07/01/2023"/>
    <x v="2"/>
  </r>
  <r>
    <n v="798"/>
    <d v="2023-08-04T00:00:00"/>
    <x v="797"/>
    <x v="0"/>
    <n v="61"/>
    <s v="Clothing"/>
    <n v="1"/>
    <n v="50"/>
    <n v="50"/>
    <s v="04/08/2023"/>
    <x v="3"/>
  </r>
  <r>
    <n v="799"/>
    <d v="2023-09-08T00:00:00"/>
    <x v="798"/>
    <x v="0"/>
    <n v="56"/>
    <s v="Electronics"/>
    <n v="2"/>
    <n v="50"/>
    <n v="100"/>
    <s v="08/09/2023"/>
    <x v="1"/>
  </r>
  <r>
    <n v="800"/>
    <d v="2023-02-24T00:00:00"/>
    <x v="799"/>
    <x v="0"/>
    <n v="32"/>
    <s v="Clothing"/>
    <n v="4"/>
    <n v="300"/>
    <n v="1200"/>
    <s v="24/02/2023"/>
    <x v="0"/>
  </r>
  <r>
    <n v="801"/>
    <d v="2023-08-10T00:00:00"/>
    <x v="800"/>
    <x v="0"/>
    <n v="21"/>
    <s v="Clothing"/>
    <n v="4"/>
    <n v="50"/>
    <n v="200"/>
    <s v="10/08/2023"/>
    <x v="4"/>
  </r>
  <r>
    <n v="802"/>
    <d v="2023-07-05T00:00:00"/>
    <x v="801"/>
    <x v="1"/>
    <n v="46"/>
    <s v="Beauty"/>
    <n v="1"/>
    <n v="30"/>
    <n v="30"/>
    <s v="05/07/2023"/>
    <x v="1"/>
  </r>
  <r>
    <n v="803"/>
    <d v="2023-11-22T00:00:00"/>
    <x v="802"/>
    <x v="0"/>
    <n v="39"/>
    <s v="Clothing"/>
    <n v="4"/>
    <n v="25"/>
    <n v="100"/>
    <s v="22/11/2023"/>
    <x v="2"/>
  </r>
  <r>
    <n v="804"/>
    <d v="2023-08-24T00:00:00"/>
    <x v="803"/>
    <x v="0"/>
    <n v="42"/>
    <s v="Electronics"/>
    <n v="1"/>
    <n v="30"/>
    <n v="30"/>
    <s v="24/08/2023"/>
    <x v="2"/>
  </r>
  <r>
    <n v="805"/>
    <d v="2023-12-29T00:00:00"/>
    <x v="804"/>
    <x v="1"/>
    <n v="30"/>
    <s v="Beauty"/>
    <n v="3"/>
    <n v="500"/>
    <n v="1500"/>
    <s v="29/12/2023"/>
    <x v="0"/>
  </r>
  <r>
    <n v="806"/>
    <d v="2023-03-20T00:00:00"/>
    <x v="805"/>
    <x v="1"/>
    <n v="35"/>
    <s v="Beauty"/>
    <n v="3"/>
    <n v="300"/>
    <n v="900"/>
    <s v="20/03/2023"/>
    <x v="0"/>
  </r>
  <r>
    <n v="807"/>
    <d v="2023-08-11T00:00:00"/>
    <x v="806"/>
    <x v="1"/>
    <n v="50"/>
    <s v="Electronics"/>
    <n v="4"/>
    <n v="50"/>
    <n v="200"/>
    <s v="11/08/2023"/>
    <x v="1"/>
  </r>
  <r>
    <n v="808"/>
    <d v="2023-04-01T00:00:00"/>
    <x v="807"/>
    <x v="0"/>
    <n v="33"/>
    <s v="Beauty"/>
    <n v="4"/>
    <n v="500"/>
    <n v="2000"/>
    <s v="01/04/2023"/>
    <x v="0"/>
  </r>
  <r>
    <n v="809"/>
    <d v="2023-09-25T00:00:00"/>
    <x v="808"/>
    <x v="1"/>
    <n v="62"/>
    <s v="Beauty"/>
    <n v="2"/>
    <n v="50"/>
    <n v="100"/>
    <s v="25/09/2023"/>
    <x v="3"/>
  </r>
  <r>
    <n v="810"/>
    <d v="2023-11-30T00:00:00"/>
    <x v="809"/>
    <x v="0"/>
    <n v="59"/>
    <s v="Electronics"/>
    <n v="4"/>
    <n v="25"/>
    <n v="100"/>
    <s v="30/11/2023"/>
    <x v="1"/>
  </r>
  <r>
    <n v="811"/>
    <d v="2023-05-19T00:00:00"/>
    <x v="810"/>
    <x v="0"/>
    <n v="61"/>
    <s v="Beauty"/>
    <n v="2"/>
    <n v="25"/>
    <n v="50"/>
    <s v="19/05/2023"/>
    <x v="3"/>
  </r>
  <r>
    <n v="812"/>
    <d v="2023-11-12T00:00:00"/>
    <x v="811"/>
    <x v="0"/>
    <n v="19"/>
    <s v="Electronics"/>
    <n v="3"/>
    <n v="25"/>
    <n v="75"/>
    <s v="12/11/2023"/>
    <x v="4"/>
  </r>
  <r>
    <n v="813"/>
    <d v="2023-10-03T00:00:00"/>
    <x v="812"/>
    <x v="0"/>
    <n v="52"/>
    <s v="Electronics"/>
    <n v="3"/>
    <n v="50"/>
    <n v="150"/>
    <s v="03/10/2023"/>
    <x v="1"/>
  </r>
  <r>
    <n v="814"/>
    <d v="2023-09-05T00:00:00"/>
    <x v="813"/>
    <x v="1"/>
    <n v="59"/>
    <s v="Clothing"/>
    <n v="1"/>
    <n v="500"/>
    <n v="500"/>
    <s v="05/09/2023"/>
    <x v="1"/>
  </r>
  <r>
    <n v="815"/>
    <d v="2023-08-27T00:00:00"/>
    <x v="814"/>
    <x v="1"/>
    <n v="51"/>
    <s v="Clothing"/>
    <n v="3"/>
    <n v="25"/>
    <n v="75"/>
    <s v="27/08/2023"/>
    <x v="1"/>
  </r>
  <r>
    <n v="816"/>
    <d v="2023-08-12T00:00:00"/>
    <x v="815"/>
    <x v="0"/>
    <n v="47"/>
    <s v="Beauty"/>
    <n v="2"/>
    <n v="500"/>
    <n v="1000"/>
    <s v="12/08/2023"/>
    <x v="1"/>
  </r>
  <r>
    <n v="817"/>
    <d v="2023-10-31T00:00:00"/>
    <x v="816"/>
    <x v="0"/>
    <n v="30"/>
    <s v="Beauty"/>
    <n v="4"/>
    <n v="50"/>
    <n v="200"/>
    <s v="31/10/2023"/>
    <x v="0"/>
  </r>
  <r>
    <n v="818"/>
    <d v="2023-05-18T00:00:00"/>
    <x v="817"/>
    <x v="0"/>
    <n v="30"/>
    <s v="Electronics"/>
    <n v="1"/>
    <n v="500"/>
    <n v="500"/>
    <s v="18/05/2023"/>
    <x v="0"/>
  </r>
  <r>
    <n v="819"/>
    <d v="2023-06-15T00:00:00"/>
    <x v="818"/>
    <x v="1"/>
    <n v="35"/>
    <s v="Beauty"/>
    <n v="2"/>
    <n v="50"/>
    <n v="100"/>
    <s v="15/06/2023"/>
    <x v="0"/>
  </r>
  <r>
    <n v="820"/>
    <d v="2023-05-06T00:00:00"/>
    <x v="819"/>
    <x v="0"/>
    <n v="49"/>
    <s v="Electronics"/>
    <n v="4"/>
    <n v="50"/>
    <n v="200"/>
    <s v="06/05/2023"/>
    <x v="1"/>
  </r>
  <r>
    <n v="821"/>
    <d v="2023-02-14T00:00:00"/>
    <x v="820"/>
    <x v="0"/>
    <n v="49"/>
    <s v="Electronics"/>
    <n v="1"/>
    <n v="300"/>
    <n v="300"/>
    <s v="14/02/2023"/>
    <x v="1"/>
  </r>
  <r>
    <n v="822"/>
    <d v="2023-05-23T00:00:00"/>
    <x v="821"/>
    <x v="1"/>
    <n v="52"/>
    <s v="Beauty"/>
    <n v="3"/>
    <n v="50"/>
    <n v="150"/>
    <s v="23/05/2023"/>
    <x v="1"/>
  </r>
  <r>
    <n v="823"/>
    <d v="2023-08-19T00:00:00"/>
    <x v="822"/>
    <x v="1"/>
    <n v="56"/>
    <s v="Electronics"/>
    <n v="2"/>
    <n v="50"/>
    <n v="100"/>
    <s v="19/08/2023"/>
    <x v="1"/>
  </r>
  <r>
    <n v="824"/>
    <d v="2023-05-05T00:00:00"/>
    <x v="823"/>
    <x v="0"/>
    <n v="63"/>
    <s v="Clothing"/>
    <n v="4"/>
    <n v="30"/>
    <n v="120"/>
    <s v="05/05/2023"/>
    <x v="3"/>
  </r>
  <r>
    <n v="825"/>
    <d v="2023-08-26T00:00:00"/>
    <x v="824"/>
    <x v="1"/>
    <n v="46"/>
    <s v="Beauty"/>
    <n v="1"/>
    <n v="25"/>
    <n v="25"/>
    <s v="26/08/2023"/>
    <x v="1"/>
  </r>
  <r>
    <n v="826"/>
    <d v="2023-10-19T00:00:00"/>
    <x v="825"/>
    <x v="1"/>
    <n v="46"/>
    <s v="Clothing"/>
    <n v="1"/>
    <n v="300"/>
    <n v="300"/>
    <s v="19/10/2023"/>
    <x v="1"/>
  </r>
  <r>
    <n v="827"/>
    <d v="2023-11-09T00:00:00"/>
    <x v="826"/>
    <x v="0"/>
    <n v="61"/>
    <s v="Beauty"/>
    <n v="3"/>
    <n v="300"/>
    <n v="900"/>
    <s v="09/11/2023"/>
    <x v="3"/>
  </r>
  <r>
    <n v="828"/>
    <d v="2023-12-09T00:00:00"/>
    <x v="827"/>
    <x v="1"/>
    <n v="33"/>
    <s v="Electronics"/>
    <n v="4"/>
    <n v="300"/>
    <n v="1200"/>
    <s v="09/12/2023"/>
    <x v="0"/>
  </r>
  <r>
    <n v="829"/>
    <d v="2023-07-14T00:00:00"/>
    <x v="828"/>
    <x v="0"/>
    <n v="61"/>
    <s v="Beauty"/>
    <n v="3"/>
    <n v="30"/>
    <n v="90"/>
    <s v="14/07/2023"/>
    <x v="3"/>
  </r>
  <r>
    <n v="830"/>
    <d v="2023-06-22T00:00:00"/>
    <x v="829"/>
    <x v="1"/>
    <n v="64"/>
    <s v="Clothing"/>
    <n v="3"/>
    <n v="50"/>
    <n v="150"/>
    <s v="22/06/2023"/>
    <x v="3"/>
  </r>
  <r>
    <n v="831"/>
    <d v="2023-01-15T00:00:00"/>
    <x v="830"/>
    <x v="0"/>
    <n v="27"/>
    <s v="Electronics"/>
    <n v="4"/>
    <n v="25"/>
    <n v="100"/>
    <s v="15/01/2023"/>
    <x v="0"/>
  </r>
  <r>
    <n v="832"/>
    <d v="2023-09-11T00:00:00"/>
    <x v="831"/>
    <x v="0"/>
    <n v="47"/>
    <s v="Beauty"/>
    <n v="4"/>
    <n v="500"/>
    <n v="2000"/>
    <s v="11/09/2023"/>
    <x v="1"/>
  </r>
  <r>
    <n v="833"/>
    <d v="2023-06-16T00:00:00"/>
    <x v="832"/>
    <x v="0"/>
    <n v="42"/>
    <s v="Beauty"/>
    <n v="4"/>
    <n v="50"/>
    <n v="200"/>
    <s v="16/06/2023"/>
    <x v="2"/>
  </r>
  <r>
    <n v="834"/>
    <d v="2023-04-04T00:00:00"/>
    <x v="833"/>
    <x v="1"/>
    <n v="56"/>
    <s v="Beauty"/>
    <n v="2"/>
    <n v="30"/>
    <n v="60"/>
    <s v="04/04/2023"/>
    <x v="1"/>
  </r>
  <r>
    <n v="835"/>
    <d v="2023-09-07T00:00:00"/>
    <x v="834"/>
    <x v="0"/>
    <n v="37"/>
    <s v="Clothing"/>
    <n v="4"/>
    <n v="50"/>
    <n v="200"/>
    <s v="07/09/2023"/>
    <x v="2"/>
  </r>
  <r>
    <n v="836"/>
    <d v="2023-04-19T00:00:00"/>
    <x v="835"/>
    <x v="1"/>
    <n v="22"/>
    <s v="Clothing"/>
    <n v="1"/>
    <n v="50"/>
    <n v="50"/>
    <s v="19/04/2023"/>
    <x v="4"/>
  </r>
  <r>
    <n v="837"/>
    <d v="2023-07-01T00:00:00"/>
    <x v="836"/>
    <x v="0"/>
    <n v="18"/>
    <s v="Beauty"/>
    <n v="3"/>
    <n v="30"/>
    <n v="90"/>
    <s v="01/07/2023"/>
    <x v="4"/>
  </r>
  <r>
    <n v="838"/>
    <d v="2023-05-13T00:00:00"/>
    <x v="837"/>
    <x v="0"/>
    <n v="47"/>
    <s v="Electronics"/>
    <n v="2"/>
    <n v="300"/>
    <n v="600"/>
    <s v="13/05/2023"/>
    <x v="1"/>
  </r>
  <r>
    <n v="839"/>
    <d v="2023-06-24T00:00:00"/>
    <x v="838"/>
    <x v="1"/>
    <n v="20"/>
    <s v="Electronics"/>
    <n v="4"/>
    <n v="300"/>
    <n v="1200"/>
    <s v="24/06/2023"/>
    <x v="4"/>
  </r>
  <r>
    <n v="840"/>
    <d v="2023-05-24T00:00:00"/>
    <x v="839"/>
    <x v="0"/>
    <n v="62"/>
    <s v="Clothing"/>
    <n v="2"/>
    <n v="25"/>
    <n v="50"/>
    <s v="24/05/2023"/>
    <x v="3"/>
  </r>
  <r>
    <n v="841"/>
    <d v="2023-11-02T00:00:00"/>
    <x v="840"/>
    <x v="0"/>
    <n v="31"/>
    <s v="Electronics"/>
    <n v="4"/>
    <n v="25"/>
    <n v="100"/>
    <s v="02/11/2023"/>
    <x v="0"/>
  </r>
  <r>
    <n v="842"/>
    <d v="2023-12-26T00:00:00"/>
    <x v="841"/>
    <x v="1"/>
    <n v="47"/>
    <s v="Clothing"/>
    <n v="2"/>
    <n v="300"/>
    <n v="600"/>
    <s v="26/12/2023"/>
    <x v="1"/>
  </r>
  <r>
    <n v="843"/>
    <d v="2023-05-22T00:00:00"/>
    <x v="842"/>
    <x v="0"/>
    <n v="21"/>
    <s v="Beauty"/>
    <n v="3"/>
    <n v="500"/>
    <n v="1500"/>
    <s v="22/05/2023"/>
    <x v="4"/>
  </r>
  <r>
    <n v="844"/>
    <d v="2023-10-12T00:00:00"/>
    <x v="843"/>
    <x v="0"/>
    <n v="35"/>
    <s v="Clothing"/>
    <n v="3"/>
    <n v="50"/>
    <n v="150"/>
    <s v="12/10/2023"/>
    <x v="0"/>
  </r>
  <r>
    <n v="845"/>
    <d v="2023-01-06T00:00:00"/>
    <x v="844"/>
    <x v="0"/>
    <n v="54"/>
    <s v="Clothing"/>
    <n v="1"/>
    <n v="500"/>
    <n v="500"/>
    <s v="06/01/2023"/>
    <x v="1"/>
  </r>
  <r>
    <n v="846"/>
    <d v="2023-09-22T00:00:00"/>
    <x v="845"/>
    <x v="0"/>
    <n v="42"/>
    <s v="Beauty"/>
    <n v="1"/>
    <n v="50"/>
    <n v="50"/>
    <s v="22/09/2023"/>
    <x v="2"/>
  </r>
  <r>
    <n v="847"/>
    <d v="2023-04-08T00:00:00"/>
    <x v="846"/>
    <x v="1"/>
    <n v="18"/>
    <s v="Electronics"/>
    <n v="4"/>
    <n v="300"/>
    <n v="1200"/>
    <s v="08/04/2023"/>
    <x v="4"/>
  </r>
  <r>
    <n v="848"/>
    <d v="2023-02-13T00:00:00"/>
    <x v="847"/>
    <x v="1"/>
    <n v="63"/>
    <s v="Clothing"/>
    <n v="3"/>
    <n v="25"/>
    <n v="75"/>
    <s v="13/02/2023"/>
    <x v="3"/>
  </r>
  <r>
    <n v="849"/>
    <d v="2023-05-04T00:00:00"/>
    <x v="848"/>
    <x v="0"/>
    <n v="32"/>
    <s v="Clothing"/>
    <n v="2"/>
    <n v="25"/>
    <n v="50"/>
    <s v="04/05/2023"/>
    <x v="0"/>
  </r>
  <r>
    <n v="850"/>
    <d v="2023-07-28T00:00:00"/>
    <x v="849"/>
    <x v="1"/>
    <n v="26"/>
    <s v="Beauty"/>
    <n v="2"/>
    <n v="500"/>
    <n v="1000"/>
    <s v="28/07/2023"/>
    <x v="0"/>
  </r>
  <r>
    <n v="851"/>
    <d v="2023-09-08T00:00:00"/>
    <x v="850"/>
    <x v="0"/>
    <n v="32"/>
    <s v="Electronics"/>
    <n v="2"/>
    <n v="25"/>
    <n v="50"/>
    <s v="08/09/2023"/>
    <x v="0"/>
  </r>
  <r>
    <n v="852"/>
    <d v="2023-10-12T00:00:00"/>
    <x v="851"/>
    <x v="1"/>
    <n v="41"/>
    <s v="Clothing"/>
    <n v="1"/>
    <n v="300"/>
    <n v="300"/>
    <s v="12/10/2023"/>
    <x v="2"/>
  </r>
  <r>
    <n v="853"/>
    <d v="2023-05-04T00:00:00"/>
    <x v="852"/>
    <x v="0"/>
    <n v="21"/>
    <s v="Beauty"/>
    <n v="2"/>
    <n v="500"/>
    <n v="1000"/>
    <s v="04/05/2023"/>
    <x v="4"/>
  </r>
  <r>
    <n v="854"/>
    <d v="2023-12-20T00:00:00"/>
    <x v="853"/>
    <x v="0"/>
    <n v="29"/>
    <s v="Clothing"/>
    <n v="1"/>
    <n v="50"/>
    <n v="50"/>
    <s v="20/12/2023"/>
    <x v="0"/>
  </r>
  <r>
    <n v="855"/>
    <d v="2023-09-01T00:00:00"/>
    <x v="854"/>
    <x v="0"/>
    <n v="54"/>
    <s v="Beauty"/>
    <n v="1"/>
    <n v="25"/>
    <n v="25"/>
    <s v="01/09/2023"/>
    <x v="1"/>
  </r>
  <r>
    <n v="856"/>
    <d v="2023-11-27T00:00:00"/>
    <x v="855"/>
    <x v="0"/>
    <n v="54"/>
    <s v="Electronics"/>
    <n v="4"/>
    <n v="30"/>
    <n v="120"/>
    <s v="27/11/2023"/>
    <x v="1"/>
  </r>
  <r>
    <n v="857"/>
    <d v="2023-12-31T00:00:00"/>
    <x v="856"/>
    <x v="0"/>
    <n v="60"/>
    <s v="Electronics"/>
    <n v="2"/>
    <n v="25"/>
    <n v="50"/>
    <s v="31/12/2023"/>
    <x v="1"/>
  </r>
  <r>
    <n v="858"/>
    <d v="2023-09-09T00:00:00"/>
    <x v="857"/>
    <x v="0"/>
    <n v="23"/>
    <s v="Electronics"/>
    <n v="2"/>
    <n v="50"/>
    <n v="100"/>
    <s v="09/09/2023"/>
    <x v="4"/>
  </r>
  <r>
    <n v="859"/>
    <d v="2023-08-18T00:00:00"/>
    <x v="858"/>
    <x v="1"/>
    <n v="56"/>
    <s v="Electronics"/>
    <n v="3"/>
    <n v="500"/>
    <n v="1500"/>
    <s v="18/08/2023"/>
    <x v="1"/>
  </r>
  <r>
    <n v="860"/>
    <d v="2023-01-09T00:00:00"/>
    <x v="859"/>
    <x v="0"/>
    <n v="63"/>
    <s v="Clothing"/>
    <n v="4"/>
    <n v="50"/>
    <n v="200"/>
    <s v="09/01/2023"/>
    <x v="3"/>
  </r>
  <r>
    <n v="861"/>
    <d v="2023-02-17T00:00:00"/>
    <x v="860"/>
    <x v="1"/>
    <n v="41"/>
    <s v="Clothing"/>
    <n v="3"/>
    <n v="30"/>
    <n v="90"/>
    <s v="17/02/2023"/>
    <x v="2"/>
  </r>
  <r>
    <n v="862"/>
    <d v="2023-05-31T00:00:00"/>
    <x v="861"/>
    <x v="0"/>
    <n v="28"/>
    <s v="Electronics"/>
    <n v="4"/>
    <n v="300"/>
    <n v="1200"/>
    <s v="31/05/2023"/>
    <x v="0"/>
  </r>
  <r>
    <n v="863"/>
    <d v="2023-04-24T00:00:00"/>
    <x v="862"/>
    <x v="1"/>
    <n v="30"/>
    <s v="Electronics"/>
    <n v="2"/>
    <n v="25"/>
    <n v="50"/>
    <s v="24/04/2023"/>
    <x v="0"/>
  </r>
  <r>
    <n v="864"/>
    <d v="2023-07-27T00:00:00"/>
    <x v="863"/>
    <x v="1"/>
    <n v="51"/>
    <s v="Electronics"/>
    <n v="1"/>
    <n v="500"/>
    <n v="500"/>
    <s v="27/07/2023"/>
    <x v="1"/>
  </r>
  <r>
    <n v="865"/>
    <d v="2023-12-21T00:00:00"/>
    <x v="864"/>
    <x v="1"/>
    <n v="42"/>
    <s v="Clothing"/>
    <n v="1"/>
    <n v="300"/>
    <n v="300"/>
    <s v="21/12/2023"/>
    <x v="2"/>
  </r>
  <r>
    <n v="866"/>
    <d v="2023-05-05T00:00:00"/>
    <x v="865"/>
    <x v="0"/>
    <n v="24"/>
    <s v="Electronics"/>
    <n v="1"/>
    <n v="50"/>
    <n v="50"/>
    <s v="05/05/2023"/>
    <x v="4"/>
  </r>
  <r>
    <n v="867"/>
    <d v="2023-06-06T00:00:00"/>
    <x v="866"/>
    <x v="0"/>
    <n v="21"/>
    <s v="Electronics"/>
    <n v="1"/>
    <n v="500"/>
    <n v="500"/>
    <s v="06/06/2023"/>
    <x v="4"/>
  </r>
  <r>
    <n v="868"/>
    <d v="2023-12-06T00:00:00"/>
    <x v="867"/>
    <x v="1"/>
    <n v="25"/>
    <s v="Electronics"/>
    <n v="1"/>
    <n v="300"/>
    <n v="300"/>
    <s v="06/12/2023"/>
    <x v="4"/>
  </r>
  <r>
    <n v="869"/>
    <d v="2023-10-25T00:00:00"/>
    <x v="868"/>
    <x v="0"/>
    <n v="37"/>
    <s v="Beauty"/>
    <n v="3"/>
    <n v="500"/>
    <n v="1500"/>
    <s v="25/10/2023"/>
    <x v="2"/>
  </r>
  <r>
    <n v="870"/>
    <d v="2023-07-08T00:00:00"/>
    <x v="869"/>
    <x v="1"/>
    <n v="46"/>
    <s v="Electronics"/>
    <n v="4"/>
    <n v="30"/>
    <n v="120"/>
    <s v="08/07/2023"/>
    <x v="1"/>
  </r>
  <r>
    <n v="871"/>
    <d v="2023-08-31T00:00:00"/>
    <x v="870"/>
    <x v="0"/>
    <n v="62"/>
    <s v="Beauty"/>
    <n v="2"/>
    <n v="30"/>
    <n v="60"/>
    <s v="31/08/2023"/>
    <x v="3"/>
  </r>
  <r>
    <n v="872"/>
    <d v="2023-10-11T00:00:00"/>
    <x v="871"/>
    <x v="1"/>
    <n v="63"/>
    <s v="Beauty"/>
    <n v="3"/>
    <n v="25"/>
    <n v="75"/>
    <s v="11/10/2023"/>
    <x v="3"/>
  </r>
  <r>
    <n v="873"/>
    <d v="2023-09-29T00:00:00"/>
    <x v="872"/>
    <x v="1"/>
    <n v="27"/>
    <s v="Electronics"/>
    <n v="4"/>
    <n v="25"/>
    <n v="100"/>
    <s v="29/09/2023"/>
    <x v="0"/>
  </r>
  <r>
    <n v="874"/>
    <d v="2023-06-26T00:00:00"/>
    <x v="873"/>
    <x v="0"/>
    <n v="60"/>
    <s v="Beauty"/>
    <n v="1"/>
    <n v="30"/>
    <n v="30"/>
    <s v="26/06/2023"/>
    <x v="1"/>
  </r>
  <r>
    <n v="875"/>
    <d v="2023-08-06T00:00:00"/>
    <x v="874"/>
    <x v="1"/>
    <n v="51"/>
    <s v="Electronics"/>
    <n v="4"/>
    <n v="500"/>
    <n v="2000"/>
    <s v="06/08/2023"/>
    <x v="1"/>
  </r>
  <r>
    <n v="876"/>
    <d v="2023-10-09T00:00:00"/>
    <x v="875"/>
    <x v="0"/>
    <n v="43"/>
    <s v="Clothing"/>
    <n v="4"/>
    <n v="30"/>
    <n v="120"/>
    <s v="09/10/2023"/>
    <x v="2"/>
  </r>
  <r>
    <n v="877"/>
    <d v="2023-06-19T00:00:00"/>
    <x v="876"/>
    <x v="1"/>
    <n v="58"/>
    <s v="Clothing"/>
    <n v="1"/>
    <n v="25"/>
    <n v="25"/>
    <s v="19/06/2023"/>
    <x v="1"/>
  </r>
  <r>
    <n v="878"/>
    <d v="2023-06-30T00:00:00"/>
    <x v="877"/>
    <x v="1"/>
    <n v="20"/>
    <s v="Clothing"/>
    <n v="1"/>
    <n v="30"/>
    <n v="30"/>
    <s v="30/06/2023"/>
    <x v="4"/>
  </r>
  <r>
    <n v="879"/>
    <d v="2023-12-26T00:00:00"/>
    <x v="878"/>
    <x v="0"/>
    <n v="23"/>
    <s v="Clothing"/>
    <n v="1"/>
    <n v="30"/>
    <n v="30"/>
    <s v="26/12/2023"/>
    <x v="4"/>
  </r>
  <r>
    <n v="880"/>
    <d v="2023-08-21T00:00:00"/>
    <x v="879"/>
    <x v="0"/>
    <n v="22"/>
    <s v="Beauty"/>
    <n v="2"/>
    <n v="500"/>
    <n v="1000"/>
    <s v="21/08/2023"/>
    <x v="4"/>
  </r>
  <r>
    <n v="881"/>
    <d v="2023-05-19T00:00:00"/>
    <x v="880"/>
    <x v="0"/>
    <n v="22"/>
    <s v="Electronics"/>
    <n v="1"/>
    <n v="300"/>
    <n v="300"/>
    <s v="19/05/2023"/>
    <x v="4"/>
  </r>
  <r>
    <n v="882"/>
    <d v="2023-06-06T00:00:00"/>
    <x v="881"/>
    <x v="1"/>
    <n v="64"/>
    <s v="Electronics"/>
    <n v="2"/>
    <n v="25"/>
    <n v="50"/>
    <s v="06/06/2023"/>
    <x v="3"/>
  </r>
  <r>
    <n v="883"/>
    <d v="2023-05-09T00:00:00"/>
    <x v="882"/>
    <x v="0"/>
    <n v="40"/>
    <s v="Electronics"/>
    <n v="1"/>
    <n v="500"/>
    <n v="500"/>
    <s v="09/05/2023"/>
    <x v="2"/>
  </r>
  <r>
    <n v="884"/>
    <d v="2023-04-29T00:00:00"/>
    <x v="883"/>
    <x v="1"/>
    <n v="26"/>
    <s v="Clothing"/>
    <n v="2"/>
    <n v="30"/>
    <n v="60"/>
    <s v="29/04/2023"/>
    <x v="0"/>
  </r>
  <r>
    <n v="885"/>
    <d v="2023-03-03T00:00:00"/>
    <x v="884"/>
    <x v="1"/>
    <n v="52"/>
    <s v="Clothing"/>
    <n v="4"/>
    <n v="30"/>
    <n v="120"/>
    <s v="03/03/2023"/>
    <x v="1"/>
  </r>
  <r>
    <n v="886"/>
    <d v="2023-04-09T00:00:00"/>
    <x v="885"/>
    <x v="0"/>
    <n v="37"/>
    <s v="Electronics"/>
    <n v="3"/>
    <n v="300"/>
    <n v="900"/>
    <s v="09/04/2023"/>
    <x v="2"/>
  </r>
  <r>
    <n v="887"/>
    <d v="2023-06-11T00:00:00"/>
    <x v="886"/>
    <x v="0"/>
    <n v="59"/>
    <s v="Clothing"/>
    <n v="4"/>
    <n v="25"/>
    <n v="100"/>
    <s v="11/06/2023"/>
    <x v="1"/>
  </r>
  <r>
    <n v="888"/>
    <d v="2023-03-03T00:00:00"/>
    <x v="887"/>
    <x v="1"/>
    <n v="52"/>
    <s v="Electronics"/>
    <n v="4"/>
    <n v="25"/>
    <n v="100"/>
    <s v="03/03/2023"/>
    <x v="1"/>
  </r>
  <r>
    <n v="889"/>
    <d v="2023-10-02T00:00:00"/>
    <x v="888"/>
    <x v="1"/>
    <n v="35"/>
    <s v="Electronics"/>
    <n v="1"/>
    <n v="50"/>
    <n v="50"/>
    <s v="02/10/2023"/>
    <x v="0"/>
  </r>
  <r>
    <n v="890"/>
    <d v="2023-12-20T00:00:00"/>
    <x v="889"/>
    <x v="0"/>
    <n v="34"/>
    <s v="Electronics"/>
    <n v="2"/>
    <n v="25"/>
    <n v="50"/>
    <s v="20/12/2023"/>
    <x v="0"/>
  </r>
  <r>
    <n v="891"/>
    <d v="2023-04-05T00:00:00"/>
    <x v="890"/>
    <x v="0"/>
    <n v="41"/>
    <s v="Electronics"/>
    <n v="3"/>
    <n v="300"/>
    <n v="900"/>
    <s v="05/04/2023"/>
    <x v="2"/>
  </r>
  <r>
    <n v="892"/>
    <d v="2023-04-09T00:00:00"/>
    <x v="891"/>
    <x v="0"/>
    <n v="20"/>
    <s v="Electronics"/>
    <n v="1"/>
    <n v="50"/>
    <n v="50"/>
    <s v="09/04/2023"/>
    <x v="4"/>
  </r>
  <r>
    <n v="893"/>
    <d v="2023-04-21T00:00:00"/>
    <x v="892"/>
    <x v="0"/>
    <n v="49"/>
    <s v="Electronics"/>
    <n v="1"/>
    <n v="50"/>
    <n v="50"/>
    <s v="21/04/2023"/>
    <x v="1"/>
  </r>
  <r>
    <n v="894"/>
    <d v="2023-09-05T00:00:00"/>
    <x v="893"/>
    <x v="0"/>
    <n v="52"/>
    <s v="Electronics"/>
    <n v="1"/>
    <n v="30"/>
    <n v="30"/>
    <s v="05/09/2023"/>
    <x v="1"/>
  </r>
  <r>
    <n v="895"/>
    <d v="2023-05-22T00:00:00"/>
    <x v="894"/>
    <x v="1"/>
    <n v="55"/>
    <s v="Clothing"/>
    <n v="4"/>
    <n v="30"/>
    <n v="120"/>
    <s v="22/05/2023"/>
    <x v="1"/>
  </r>
  <r>
    <n v="896"/>
    <d v="2023-10-29T00:00:00"/>
    <x v="895"/>
    <x v="1"/>
    <n v="30"/>
    <s v="Electronics"/>
    <n v="2"/>
    <n v="25"/>
    <n v="50"/>
    <s v="29/10/2023"/>
    <x v="0"/>
  </r>
  <r>
    <n v="897"/>
    <d v="2023-09-26T00:00:00"/>
    <x v="896"/>
    <x v="1"/>
    <n v="64"/>
    <s v="Electronics"/>
    <n v="2"/>
    <n v="50"/>
    <n v="100"/>
    <s v="26/09/2023"/>
    <x v="3"/>
  </r>
  <r>
    <n v="898"/>
    <d v="2023-11-02T00:00:00"/>
    <x v="897"/>
    <x v="1"/>
    <n v="42"/>
    <s v="Clothing"/>
    <n v="3"/>
    <n v="30"/>
    <n v="90"/>
    <s v="02/11/2023"/>
    <x v="2"/>
  </r>
  <r>
    <n v="899"/>
    <d v="2023-05-25T00:00:00"/>
    <x v="898"/>
    <x v="0"/>
    <n v="26"/>
    <s v="Clothing"/>
    <n v="2"/>
    <n v="300"/>
    <n v="600"/>
    <s v="25/05/2023"/>
    <x v="0"/>
  </r>
  <r>
    <n v="900"/>
    <d v="2023-02-21T00:00:00"/>
    <x v="899"/>
    <x v="0"/>
    <n v="21"/>
    <s v="Clothing"/>
    <n v="2"/>
    <n v="30"/>
    <n v="60"/>
    <s v="21/02/2023"/>
    <x v="4"/>
  </r>
  <r>
    <n v="901"/>
    <d v="2023-04-10T00:00:00"/>
    <x v="900"/>
    <x v="0"/>
    <n v="31"/>
    <s v="Electronics"/>
    <n v="1"/>
    <n v="30"/>
    <n v="30"/>
    <s v="10/04/2023"/>
    <x v="0"/>
  </r>
  <r>
    <n v="902"/>
    <d v="2023-06-01T00:00:00"/>
    <x v="901"/>
    <x v="1"/>
    <n v="54"/>
    <s v="Beauty"/>
    <n v="1"/>
    <n v="50"/>
    <n v="50"/>
    <s v="01/06/2023"/>
    <x v="1"/>
  </r>
  <r>
    <n v="903"/>
    <d v="2023-04-27T00:00:00"/>
    <x v="902"/>
    <x v="1"/>
    <n v="51"/>
    <s v="Beauty"/>
    <n v="4"/>
    <n v="50"/>
    <n v="200"/>
    <s v="27/04/2023"/>
    <x v="1"/>
  </r>
  <r>
    <n v="904"/>
    <d v="2023-07-04T00:00:00"/>
    <x v="903"/>
    <x v="0"/>
    <n v="28"/>
    <s v="Clothing"/>
    <n v="1"/>
    <n v="500"/>
    <n v="500"/>
    <s v="04/07/2023"/>
    <x v="0"/>
  </r>
  <r>
    <n v="905"/>
    <d v="2023-04-02T00:00:00"/>
    <x v="904"/>
    <x v="0"/>
    <n v="58"/>
    <s v="Beauty"/>
    <n v="1"/>
    <n v="300"/>
    <n v="300"/>
    <s v="02/04/2023"/>
    <x v="1"/>
  </r>
  <r>
    <n v="906"/>
    <d v="2023-06-04T00:00:00"/>
    <x v="905"/>
    <x v="1"/>
    <n v="20"/>
    <s v="Clothing"/>
    <n v="1"/>
    <n v="50"/>
    <n v="50"/>
    <s v="04/06/2023"/>
    <x v="4"/>
  </r>
  <r>
    <n v="907"/>
    <d v="2023-01-08T00:00:00"/>
    <x v="906"/>
    <x v="1"/>
    <n v="45"/>
    <s v="Electronics"/>
    <n v="1"/>
    <n v="25"/>
    <n v="25"/>
    <s v="08/01/2023"/>
    <x v="2"/>
  </r>
  <r>
    <n v="908"/>
    <d v="2023-12-29T00:00:00"/>
    <x v="907"/>
    <x v="0"/>
    <n v="46"/>
    <s v="Beauty"/>
    <n v="4"/>
    <n v="300"/>
    <n v="1200"/>
    <s v="29/12/2023"/>
    <x v="1"/>
  </r>
  <r>
    <n v="909"/>
    <d v="2023-10-01T00:00:00"/>
    <x v="908"/>
    <x v="0"/>
    <n v="26"/>
    <s v="Electronics"/>
    <n v="1"/>
    <n v="300"/>
    <n v="300"/>
    <s v="01/10/2023"/>
    <x v="0"/>
  </r>
  <r>
    <n v="910"/>
    <d v="2023-03-06T00:00:00"/>
    <x v="909"/>
    <x v="1"/>
    <n v="20"/>
    <s v="Beauty"/>
    <n v="3"/>
    <n v="50"/>
    <n v="150"/>
    <s v="06/03/2023"/>
    <x v="4"/>
  </r>
  <r>
    <n v="911"/>
    <d v="2023-05-21T00:00:00"/>
    <x v="910"/>
    <x v="0"/>
    <n v="42"/>
    <s v="Electronics"/>
    <n v="3"/>
    <n v="300"/>
    <n v="900"/>
    <s v="21/05/2023"/>
    <x v="2"/>
  </r>
  <r>
    <n v="912"/>
    <d v="2023-01-24T00:00:00"/>
    <x v="911"/>
    <x v="0"/>
    <n v="51"/>
    <s v="Beauty"/>
    <n v="3"/>
    <n v="50"/>
    <n v="150"/>
    <s v="24/01/2023"/>
    <x v="1"/>
  </r>
  <r>
    <n v="913"/>
    <d v="2023-01-28T00:00:00"/>
    <x v="912"/>
    <x v="0"/>
    <n v="29"/>
    <s v="Electronics"/>
    <n v="3"/>
    <n v="30"/>
    <n v="90"/>
    <s v="28/01/2023"/>
    <x v="0"/>
  </r>
  <r>
    <n v="914"/>
    <d v="2023-10-11T00:00:00"/>
    <x v="913"/>
    <x v="1"/>
    <n v="59"/>
    <s v="Electronics"/>
    <n v="1"/>
    <n v="500"/>
    <n v="500"/>
    <s v="11/10/2023"/>
    <x v="1"/>
  </r>
  <r>
    <n v="915"/>
    <d v="2023-05-30T00:00:00"/>
    <x v="914"/>
    <x v="1"/>
    <n v="26"/>
    <s v="Beauty"/>
    <n v="3"/>
    <n v="30"/>
    <n v="90"/>
    <s v="30/05/2023"/>
    <x v="0"/>
  </r>
  <r>
    <n v="916"/>
    <d v="2023-12-24T00:00:00"/>
    <x v="915"/>
    <x v="1"/>
    <n v="32"/>
    <s v="Electronics"/>
    <n v="1"/>
    <n v="50"/>
    <n v="50"/>
    <s v="24/12/2023"/>
    <x v="0"/>
  </r>
  <r>
    <n v="917"/>
    <d v="2023-03-06T00:00:00"/>
    <x v="916"/>
    <x v="1"/>
    <n v="57"/>
    <s v="Electronics"/>
    <n v="4"/>
    <n v="50"/>
    <n v="200"/>
    <s v="06/03/2023"/>
    <x v="1"/>
  </r>
  <r>
    <n v="918"/>
    <d v="2023-11-23T00:00:00"/>
    <x v="917"/>
    <x v="1"/>
    <n v="42"/>
    <s v="Electronics"/>
    <n v="3"/>
    <n v="30"/>
    <n v="90"/>
    <s v="23/11/2023"/>
    <x v="2"/>
  </r>
  <r>
    <n v="919"/>
    <d v="2023-09-09T00:00:00"/>
    <x v="918"/>
    <x v="1"/>
    <n v="22"/>
    <s v="Beauty"/>
    <n v="2"/>
    <n v="25"/>
    <n v="50"/>
    <s v="09/09/2023"/>
    <x v="4"/>
  </r>
  <r>
    <n v="920"/>
    <d v="2023-02-22T00:00:00"/>
    <x v="919"/>
    <x v="1"/>
    <n v="28"/>
    <s v="Beauty"/>
    <n v="3"/>
    <n v="25"/>
    <n v="75"/>
    <s v="22/02/2023"/>
    <x v="0"/>
  </r>
  <r>
    <n v="921"/>
    <d v="2023-01-07T00:00:00"/>
    <x v="920"/>
    <x v="0"/>
    <n v="51"/>
    <s v="Electronics"/>
    <n v="3"/>
    <n v="25"/>
    <n v="75"/>
    <s v="07/01/2023"/>
    <x v="1"/>
  </r>
  <r>
    <n v="922"/>
    <d v="2023-10-21T00:00:00"/>
    <x v="921"/>
    <x v="0"/>
    <n v="41"/>
    <s v="Electronics"/>
    <n v="1"/>
    <n v="50"/>
    <n v="50"/>
    <s v="21/10/2023"/>
    <x v="2"/>
  </r>
  <r>
    <n v="923"/>
    <d v="2023-05-26T00:00:00"/>
    <x v="922"/>
    <x v="0"/>
    <n v="32"/>
    <s v="Beauty"/>
    <n v="3"/>
    <n v="300"/>
    <n v="900"/>
    <s v="26/05/2023"/>
    <x v="0"/>
  </r>
  <r>
    <n v="924"/>
    <d v="2023-08-29T00:00:00"/>
    <x v="923"/>
    <x v="0"/>
    <n v="55"/>
    <s v="Beauty"/>
    <n v="2"/>
    <n v="50"/>
    <n v="100"/>
    <s v="29/08/2023"/>
    <x v="1"/>
  </r>
  <r>
    <n v="925"/>
    <d v="2023-09-03T00:00:00"/>
    <x v="924"/>
    <x v="0"/>
    <n v="25"/>
    <s v="Electronics"/>
    <n v="1"/>
    <n v="300"/>
    <n v="300"/>
    <s v="03/09/2023"/>
    <x v="4"/>
  </r>
  <r>
    <n v="926"/>
    <d v="2023-08-14T00:00:00"/>
    <x v="925"/>
    <x v="0"/>
    <n v="22"/>
    <s v="Electronics"/>
    <n v="1"/>
    <n v="30"/>
    <n v="30"/>
    <s v="14/08/2023"/>
    <x v="4"/>
  </r>
  <r>
    <n v="927"/>
    <d v="2023-06-24T00:00:00"/>
    <x v="926"/>
    <x v="0"/>
    <n v="43"/>
    <s v="Electronics"/>
    <n v="4"/>
    <n v="500"/>
    <n v="2000"/>
    <s v="24/06/2023"/>
    <x v="2"/>
  </r>
  <r>
    <n v="928"/>
    <d v="2023-04-05T00:00:00"/>
    <x v="927"/>
    <x v="1"/>
    <n v="35"/>
    <s v="Clothing"/>
    <n v="4"/>
    <n v="300"/>
    <n v="1200"/>
    <s v="05/04/2023"/>
    <x v="0"/>
  </r>
  <r>
    <n v="929"/>
    <d v="2023-01-27T00:00:00"/>
    <x v="928"/>
    <x v="1"/>
    <n v="23"/>
    <s v="Beauty"/>
    <n v="3"/>
    <n v="25"/>
    <n v="75"/>
    <s v="27/01/2023"/>
    <x v="4"/>
  </r>
  <r>
    <n v="930"/>
    <d v="2023-05-10T00:00:00"/>
    <x v="929"/>
    <x v="0"/>
    <n v="54"/>
    <s v="Clothing"/>
    <n v="4"/>
    <n v="50"/>
    <n v="200"/>
    <s v="10/05/2023"/>
    <x v="1"/>
  </r>
  <r>
    <n v="931"/>
    <d v="2023-09-02T00:00:00"/>
    <x v="930"/>
    <x v="0"/>
    <n v="30"/>
    <s v="Beauty"/>
    <n v="4"/>
    <n v="30"/>
    <n v="120"/>
    <s v="02/09/2023"/>
    <x v="0"/>
  </r>
  <r>
    <n v="932"/>
    <d v="2023-02-28T00:00:00"/>
    <x v="931"/>
    <x v="1"/>
    <n v="45"/>
    <s v="Beauty"/>
    <n v="4"/>
    <n v="25"/>
    <n v="100"/>
    <s v="28/02/2023"/>
    <x v="2"/>
  </r>
  <r>
    <n v="933"/>
    <d v="2023-02-03T00:00:00"/>
    <x v="932"/>
    <x v="0"/>
    <n v="22"/>
    <s v="Beauty"/>
    <n v="1"/>
    <n v="30"/>
    <n v="30"/>
    <s v="03/02/2023"/>
    <x v="4"/>
  </r>
  <r>
    <n v="934"/>
    <d v="2023-07-25T00:00:00"/>
    <x v="933"/>
    <x v="0"/>
    <n v="30"/>
    <s v="Beauty"/>
    <n v="1"/>
    <n v="500"/>
    <n v="500"/>
    <s v="25/07/2023"/>
    <x v="0"/>
  </r>
  <r>
    <n v="935"/>
    <d v="2023-09-09T00:00:00"/>
    <x v="934"/>
    <x v="1"/>
    <n v="34"/>
    <s v="Beauty"/>
    <n v="1"/>
    <n v="50"/>
    <n v="50"/>
    <s v="09/09/2023"/>
    <x v="0"/>
  </r>
  <r>
    <n v="936"/>
    <d v="2023-02-07T00:00:00"/>
    <x v="935"/>
    <x v="0"/>
    <n v="57"/>
    <s v="Beauty"/>
    <n v="4"/>
    <n v="50"/>
    <n v="200"/>
    <s v="07/02/2023"/>
    <x v="1"/>
  </r>
  <r>
    <n v="937"/>
    <d v="2023-10-23T00:00:00"/>
    <x v="936"/>
    <x v="1"/>
    <n v="62"/>
    <s v="Beauty"/>
    <n v="1"/>
    <n v="500"/>
    <n v="500"/>
    <s v="23/10/2023"/>
    <x v="3"/>
  </r>
  <r>
    <n v="938"/>
    <d v="2023-11-19T00:00:00"/>
    <x v="937"/>
    <x v="0"/>
    <n v="49"/>
    <s v="Clothing"/>
    <n v="4"/>
    <n v="50"/>
    <n v="200"/>
    <s v="19/11/2023"/>
    <x v="1"/>
  </r>
  <r>
    <n v="939"/>
    <d v="2023-12-18T00:00:00"/>
    <x v="938"/>
    <x v="1"/>
    <n v="46"/>
    <s v="Electronics"/>
    <n v="1"/>
    <n v="300"/>
    <n v="300"/>
    <s v="18/12/2023"/>
    <x v="1"/>
  </r>
  <r>
    <n v="940"/>
    <d v="2023-01-28T00:00:00"/>
    <x v="939"/>
    <x v="1"/>
    <n v="20"/>
    <s v="Electronics"/>
    <n v="1"/>
    <n v="30"/>
    <n v="30"/>
    <s v="28/01/2023"/>
    <x v="4"/>
  </r>
  <r>
    <n v="941"/>
    <d v="2023-03-19T00:00:00"/>
    <x v="940"/>
    <x v="1"/>
    <n v="57"/>
    <s v="Clothing"/>
    <n v="2"/>
    <n v="25"/>
    <n v="50"/>
    <s v="19/03/2023"/>
    <x v="1"/>
  </r>
  <r>
    <n v="942"/>
    <d v="2023-03-18T00:00:00"/>
    <x v="941"/>
    <x v="0"/>
    <n v="51"/>
    <s v="Clothing"/>
    <n v="3"/>
    <n v="500"/>
    <n v="1500"/>
    <s v="18/03/2023"/>
    <x v="1"/>
  </r>
  <r>
    <n v="943"/>
    <d v="2023-10-16T00:00:00"/>
    <x v="942"/>
    <x v="1"/>
    <n v="57"/>
    <s v="Clothing"/>
    <n v="4"/>
    <n v="300"/>
    <n v="1200"/>
    <s v="16/10/2023"/>
    <x v="1"/>
  </r>
  <r>
    <n v="944"/>
    <d v="2023-06-05T00:00:00"/>
    <x v="943"/>
    <x v="0"/>
    <n v="44"/>
    <s v="Clothing"/>
    <n v="2"/>
    <n v="25"/>
    <n v="50"/>
    <s v="05/06/2023"/>
    <x v="2"/>
  </r>
  <r>
    <n v="945"/>
    <d v="2023-02-13T00:00:00"/>
    <x v="944"/>
    <x v="0"/>
    <n v="30"/>
    <s v="Beauty"/>
    <n v="1"/>
    <n v="25"/>
    <n v="25"/>
    <s v="13/02/2023"/>
    <x v="0"/>
  </r>
  <r>
    <n v="946"/>
    <d v="2023-05-08T00:00:00"/>
    <x v="945"/>
    <x v="0"/>
    <n v="62"/>
    <s v="Electronics"/>
    <n v="4"/>
    <n v="500"/>
    <n v="2000"/>
    <s v="08/05/2023"/>
    <x v="3"/>
  </r>
  <r>
    <n v="947"/>
    <d v="2023-03-02T00:00:00"/>
    <x v="946"/>
    <x v="0"/>
    <n v="50"/>
    <s v="Beauty"/>
    <n v="1"/>
    <n v="300"/>
    <n v="300"/>
    <s v="02/03/2023"/>
    <x v="1"/>
  </r>
  <r>
    <n v="948"/>
    <d v="2023-10-13T00:00:00"/>
    <x v="947"/>
    <x v="1"/>
    <n v="23"/>
    <s v="Electronics"/>
    <n v="3"/>
    <n v="25"/>
    <n v="75"/>
    <s v="13/10/2023"/>
    <x v="4"/>
  </r>
  <r>
    <n v="949"/>
    <d v="2023-08-02T00:00:00"/>
    <x v="948"/>
    <x v="1"/>
    <n v="41"/>
    <s v="Electronics"/>
    <n v="2"/>
    <n v="25"/>
    <n v="50"/>
    <s v="02/08/2023"/>
    <x v="2"/>
  </r>
  <r>
    <n v="950"/>
    <d v="2023-11-07T00:00:00"/>
    <x v="949"/>
    <x v="0"/>
    <n v="36"/>
    <s v="Clothing"/>
    <n v="3"/>
    <n v="300"/>
    <n v="900"/>
    <s v="07/11/2023"/>
    <x v="2"/>
  </r>
  <r>
    <n v="951"/>
    <d v="2023-11-02T00:00:00"/>
    <x v="950"/>
    <x v="0"/>
    <n v="33"/>
    <s v="Beauty"/>
    <n v="2"/>
    <n v="50"/>
    <n v="100"/>
    <s v="02/11/2023"/>
    <x v="0"/>
  </r>
  <r>
    <n v="952"/>
    <d v="2023-11-13T00:00:00"/>
    <x v="951"/>
    <x v="1"/>
    <n v="57"/>
    <s v="Clothing"/>
    <n v="1"/>
    <n v="25"/>
    <n v="25"/>
    <s v="13/11/2023"/>
    <x v="1"/>
  </r>
  <r>
    <n v="953"/>
    <d v="2023-04-26T00:00:00"/>
    <x v="952"/>
    <x v="0"/>
    <n v="45"/>
    <s v="Beauty"/>
    <n v="3"/>
    <n v="30"/>
    <n v="90"/>
    <s v="26/04/2023"/>
    <x v="2"/>
  </r>
  <r>
    <n v="954"/>
    <d v="2023-09-25T00:00:00"/>
    <x v="953"/>
    <x v="1"/>
    <n v="50"/>
    <s v="Electronics"/>
    <n v="3"/>
    <n v="300"/>
    <n v="900"/>
    <s v="25/09/2023"/>
    <x v="1"/>
  </r>
  <r>
    <n v="955"/>
    <d v="2023-07-14T00:00:00"/>
    <x v="954"/>
    <x v="0"/>
    <n v="58"/>
    <s v="Clothing"/>
    <n v="1"/>
    <n v="25"/>
    <n v="25"/>
    <s v="14/07/2023"/>
    <x v="1"/>
  </r>
  <r>
    <n v="956"/>
    <d v="2023-08-19T00:00:00"/>
    <x v="955"/>
    <x v="0"/>
    <n v="30"/>
    <s v="Clothing"/>
    <n v="3"/>
    <n v="500"/>
    <n v="1500"/>
    <s v="19/08/2023"/>
    <x v="0"/>
  </r>
  <r>
    <n v="957"/>
    <d v="2023-08-15T00:00:00"/>
    <x v="956"/>
    <x v="1"/>
    <n v="60"/>
    <s v="Electronics"/>
    <n v="4"/>
    <n v="30"/>
    <n v="120"/>
    <s v="15/08/2023"/>
    <x v="1"/>
  </r>
  <r>
    <n v="958"/>
    <d v="2023-06-02T00:00:00"/>
    <x v="957"/>
    <x v="0"/>
    <n v="62"/>
    <s v="Electronics"/>
    <n v="2"/>
    <n v="25"/>
    <n v="50"/>
    <s v="02/06/2023"/>
    <x v="3"/>
  </r>
  <r>
    <n v="959"/>
    <d v="2023-10-29T00:00:00"/>
    <x v="958"/>
    <x v="1"/>
    <n v="42"/>
    <s v="Electronics"/>
    <n v="2"/>
    <n v="30"/>
    <n v="60"/>
    <s v="29/10/2023"/>
    <x v="2"/>
  </r>
  <r>
    <n v="960"/>
    <d v="2023-08-08T00:00:00"/>
    <x v="959"/>
    <x v="0"/>
    <n v="59"/>
    <s v="Clothing"/>
    <n v="2"/>
    <n v="30"/>
    <n v="60"/>
    <s v="08/08/2023"/>
    <x v="1"/>
  </r>
  <r>
    <n v="961"/>
    <d v="2023-06-06T00:00:00"/>
    <x v="960"/>
    <x v="0"/>
    <n v="53"/>
    <s v="Beauty"/>
    <n v="4"/>
    <n v="50"/>
    <n v="200"/>
    <s v="06/06/2023"/>
    <x v="1"/>
  </r>
  <r>
    <n v="962"/>
    <d v="2023-10-19T00:00:00"/>
    <x v="961"/>
    <x v="0"/>
    <n v="44"/>
    <s v="Clothing"/>
    <n v="2"/>
    <n v="30"/>
    <n v="60"/>
    <s v="19/10/2023"/>
    <x v="2"/>
  </r>
  <r>
    <n v="963"/>
    <d v="2023-11-14T00:00:00"/>
    <x v="962"/>
    <x v="1"/>
    <n v="55"/>
    <s v="Beauty"/>
    <n v="1"/>
    <n v="50"/>
    <n v="50"/>
    <s v="14/11/2023"/>
    <x v="1"/>
  </r>
  <r>
    <n v="964"/>
    <d v="2023-01-31T00:00:00"/>
    <x v="963"/>
    <x v="0"/>
    <n v="24"/>
    <s v="Clothing"/>
    <n v="3"/>
    <n v="300"/>
    <n v="900"/>
    <s v="31/01/2023"/>
    <x v="4"/>
  </r>
  <r>
    <n v="965"/>
    <d v="2023-11-09T00:00:00"/>
    <x v="964"/>
    <x v="0"/>
    <n v="22"/>
    <s v="Clothing"/>
    <n v="4"/>
    <n v="50"/>
    <n v="200"/>
    <s v="09/11/2023"/>
    <x v="4"/>
  </r>
  <r>
    <n v="966"/>
    <d v="2023-02-20T00:00:00"/>
    <x v="965"/>
    <x v="0"/>
    <n v="60"/>
    <s v="Electronics"/>
    <n v="2"/>
    <n v="500"/>
    <n v="1000"/>
    <s v="20/02/2023"/>
    <x v="1"/>
  </r>
  <r>
    <n v="967"/>
    <d v="2023-04-17T00:00:00"/>
    <x v="966"/>
    <x v="0"/>
    <n v="62"/>
    <s v="Beauty"/>
    <n v="1"/>
    <n v="25"/>
    <n v="25"/>
    <s v="17/04/2023"/>
    <x v="3"/>
  </r>
  <r>
    <n v="968"/>
    <d v="2023-11-17T00:00:00"/>
    <x v="967"/>
    <x v="1"/>
    <n v="48"/>
    <s v="Clothing"/>
    <n v="3"/>
    <n v="300"/>
    <n v="900"/>
    <s v="17/11/2023"/>
    <x v="1"/>
  </r>
  <r>
    <n v="969"/>
    <d v="2023-04-19T00:00:00"/>
    <x v="968"/>
    <x v="1"/>
    <n v="40"/>
    <s v="Clothing"/>
    <n v="3"/>
    <n v="300"/>
    <n v="900"/>
    <s v="19/04/2023"/>
    <x v="2"/>
  </r>
  <r>
    <n v="970"/>
    <d v="2023-05-16T00:00:00"/>
    <x v="969"/>
    <x v="0"/>
    <n v="59"/>
    <s v="Electronics"/>
    <n v="4"/>
    <n v="500"/>
    <n v="2000"/>
    <s v="16/05/2023"/>
    <x v="1"/>
  </r>
  <r>
    <n v="971"/>
    <d v="2023-12-05T00:00:00"/>
    <x v="970"/>
    <x v="1"/>
    <n v="27"/>
    <s v="Electronics"/>
    <n v="4"/>
    <n v="50"/>
    <n v="200"/>
    <s v="05/12/2023"/>
    <x v="0"/>
  </r>
  <r>
    <n v="972"/>
    <d v="2023-02-11T00:00:00"/>
    <x v="971"/>
    <x v="0"/>
    <n v="49"/>
    <s v="Beauty"/>
    <n v="4"/>
    <n v="25"/>
    <n v="100"/>
    <s v="11/02/2023"/>
    <x v="1"/>
  </r>
  <r>
    <n v="973"/>
    <d v="2023-03-22T00:00:00"/>
    <x v="972"/>
    <x v="0"/>
    <n v="60"/>
    <s v="Clothing"/>
    <n v="1"/>
    <n v="50"/>
    <n v="50"/>
    <s v="22/03/2023"/>
    <x v="1"/>
  </r>
  <r>
    <n v="974"/>
    <d v="2023-05-03T00:00:00"/>
    <x v="973"/>
    <x v="0"/>
    <n v="47"/>
    <s v="Beauty"/>
    <n v="1"/>
    <n v="30"/>
    <n v="30"/>
    <s v="03/05/2023"/>
    <x v="1"/>
  </r>
  <r>
    <n v="975"/>
    <d v="2023-03-30T00:00:00"/>
    <x v="974"/>
    <x v="1"/>
    <n v="56"/>
    <s v="Clothing"/>
    <n v="4"/>
    <n v="50"/>
    <n v="200"/>
    <s v="30/03/2023"/>
    <x v="1"/>
  </r>
  <r>
    <n v="976"/>
    <d v="2023-10-10T00:00:00"/>
    <x v="975"/>
    <x v="1"/>
    <n v="48"/>
    <s v="Beauty"/>
    <n v="2"/>
    <n v="300"/>
    <n v="600"/>
    <s v="10/10/2023"/>
    <x v="1"/>
  </r>
  <r>
    <n v="977"/>
    <d v="2023-02-08T00:00:00"/>
    <x v="976"/>
    <x v="1"/>
    <n v="35"/>
    <s v="Electronics"/>
    <n v="3"/>
    <n v="25"/>
    <n v="75"/>
    <s v="08/02/2023"/>
    <x v="0"/>
  </r>
  <r>
    <n v="978"/>
    <d v="2023-03-22T00:00:00"/>
    <x v="977"/>
    <x v="1"/>
    <n v="53"/>
    <s v="Clothing"/>
    <n v="3"/>
    <n v="50"/>
    <n v="150"/>
    <s v="22/03/2023"/>
    <x v="1"/>
  </r>
  <r>
    <n v="979"/>
    <d v="2023-01-02T00:00:00"/>
    <x v="978"/>
    <x v="1"/>
    <n v="19"/>
    <s v="Beauty"/>
    <n v="1"/>
    <n v="25"/>
    <n v="25"/>
    <s v="02/01/2023"/>
    <x v="4"/>
  </r>
  <r>
    <n v="980"/>
    <d v="2023-07-29T00:00:00"/>
    <x v="979"/>
    <x v="1"/>
    <n v="31"/>
    <s v="Electronics"/>
    <n v="3"/>
    <n v="25"/>
    <n v="75"/>
    <s v="29/07/2023"/>
    <x v="0"/>
  </r>
  <r>
    <n v="981"/>
    <d v="2023-08-19T00:00:00"/>
    <x v="980"/>
    <x v="1"/>
    <n v="30"/>
    <s v="Electronics"/>
    <n v="2"/>
    <n v="30"/>
    <n v="60"/>
    <s v="19/08/2023"/>
    <x v="0"/>
  </r>
  <r>
    <n v="982"/>
    <d v="2023-12-19T00:00:00"/>
    <x v="981"/>
    <x v="1"/>
    <n v="46"/>
    <s v="Beauty"/>
    <n v="3"/>
    <n v="30"/>
    <n v="90"/>
    <s v="19/12/2023"/>
    <x v="1"/>
  </r>
  <r>
    <n v="983"/>
    <d v="2023-11-01T00:00:00"/>
    <x v="982"/>
    <x v="1"/>
    <n v="29"/>
    <s v="Clothing"/>
    <n v="1"/>
    <n v="300"/>
    <n v="300"/>
    <s v="01/11/2023"/>
    <x v="0"/>
  </r>
  <r>
    <n v="984"/>
    <d v="2023-08-29T00:00:00"/>
    <x v="983"/>
    <x v="0"/>
    <n v="56"/>
    <s v="Clothing"/>
    <n v="1"/>
    <n v="500"/>
    <n v="500"/>
    <s v="29/08/2023"/>
    <x v="1"/>
  </r>
  <r>
    <n v="985"/>
    <d v="2023-05-30T00:00:00"/>
    <x v="984"/>
    <x v="1"/>
    <n v="19"/>
    <s v="Electronics"/>
    <n v="2"/>
    <n v="25"/>
    <n v="50"/>
    <s v="30/05/2023"/>
    <x v="4"/>
  </r>
  <r>
    <n v="986"/>
    <d v="2023-01-17T00:00:00"/>
    <x v="985"/>
    <x v="1"/>
    <n v="49"/>
    <s v="Clothing"/>
    <n v="2"/>
    <n v="500"/>
    <n v="1000"/>
    <s v="17/01/2023"/>
    <x v="1"/>
  </r>
  <r>
    <n v="987"/>
    <d v="2023-04-29T00:00:00"/>
    <x v="986"/>
    <x v="1"/>
    <n v="30"/>
    <s v="Clothing"/>
    <n v="3"/>
    <n v="300"/>
    <n v="900"/>
    <s v="29/04/2023"/>
    <x v="0"/>
  </r>
  <r>
    <n v="988"/>
    <d v="2023-05-28T00:00:00"/>
    <x v="987"/>
    <x v="1"/>
    <n v="63"/>
    <s v="Clothing"/>
    <n v="3"/>
    <n v="25"/>
    <n v="75"/>
    <s v="28/05/2023"/>
    <x v="3"/>
  </r>
  <r>
    <n v="989"/>
    <d v="2023-12-28T00:00:00"/>
    <x v="988"/>
    <x v="1"/>
    <n v="44"/>
    <s v="Electronics"/>
    <n v="1"/>
    <n v="25"/>
    <n v="25"/>
    <s v="28/12/2023"/>
    <x v="2"/>
  </r>
  <r>
    <n v="990"/>
    <d v="2023-05-25T00:00:00"/>
    <x v="989"/>
    <x v="1"/>
    <n v="58"/>
    <s v="Beauty"/>
    <n v="2"/>
    <n v="500"/>
    <n v="1000"/>
    <s v="25/05/2023"/>
    <x v="1"/>
  </r>
  <r>
    <n v="991"/>
    <d v="2023-12-26T00:00:00"/>
    <x v="990"/>
    <x v="1"/>
    <n v="34"/>
    <s v="Clothing"/>
    <n v="2"/>
    <n v="50"/>
    <n v="100"/>
    <s v="26/12/2023"/>
    <x v="0"/>
  </r>
  <r>
    <n v="992"/>
    <d v="2023-08-21T00:00:00"/>
    <x v="991"/>
    <x v="1"/>
    <n v="57"/>
    <s v="Electronics"/>
    <n v="2"/>
    <n v="30"/>
    <n v="60"/>
    <s v="21/08/2023"/>
    <x v="1"/>
  </r>
  <r>
    <n v="993"/>
    <d v="2023-02-06T00:00:00"/>
    <x v="992"/>
    <x v="1"/>
    <n v="48"/>
    <s v="Electronics"/>
    <n v="3"/>
    <n v="50"/>
    <n v="150"/>
    <s v="06/02/2023"/>
    <x v="1"/>
  </r>
  <r>
    <n v="994"/>
    <d v="2023-12-18T00:00:00"/>
    <x v="993"/>
    <x v="1"/>
    <n v="51"/>
    <s v="Beauty"/>
    <n v="2"/>
    <n v="500"/>
    <n v="1000"/>
    <s v="18/12/2023"/>
    <x v="1"/>
  </r>
  <r>
    <n v="995"/>
    <d v="2023-04-30T00:00:00"/>
    <x v="994"/>
    <x v="1"/>
    <n v="41"/>
    <s v="Clothing"/>
    <n v="1"/>
    <n v="30"/>
    <n v="30"/>
    <s v="30/04/2023"/>
    <x v="2"/>
  </r>
  <r>
    <n v="996"/>
    <d v="2023-05-16T00:00:00"/>
    <x v="995"/>
    <x v="0"/>
    <n v="62"/>
    <s v="Clothing"/>
    <n v="1"/>
    <n v="50"/>
    <n v="50"/>
    <s v="16/05/2023"/>
    <x v="3"/>
  </r>
  <r>
    <n v="997"/>
    <d v="2023-11-17T00:00:00"/>
    <x v="996"/>
    <x v="0"/>
    <n v="52"/>
    <s v="Beauty"/>
    <n v="3"/>
    <n v="30"/>
    <n v="90"/>
    <s v="17/11/2023"/>
    <x v="1"/>
  </r>
  <r>
    <n v="998"/>
    <d v="2023-10-29T00:00:00"/>
    <x v="997"/>
    <x v="1"/>
    <n v="23"/>
    <s v="Beauty"/>
    <n v="4"/>
    <n v="25"/>
    <n v="100"/>
    <s v="29/10/2023"/>
    <x v="4"/>
  </r>
  <r>
    <n v="999"/>
    <d v="2023-12-05T00:00:00"/>
    <x v="998"/>
    <x v="1"/>
    <n v="36"/>
    <s v="Electronics"/>
    <n v="3"/>
    <n v="50"/>
    <n v="150"/>
    <s v="05/12/2023"/>
    <x v="2"/>
  </r>
  <r>
    <n v="1000"/>
    <d v="2023-04-12T00:00:00"/>
    <x v="999"/>
    <x v="0"/>
    <n v="47"/>
    <s v="Electronics"/>
    <n v="4"/>
    <n v="30"/>
    <n v="120"/>
    <s v="12/04/2023"/>
    <x v="1"/>
  </r>
  <r>
    <m/>
    <m/>
    <x v="1000"/>
    <x v="2"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73E3C-3E67-4E5F-8484-B89BEC58D27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5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 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7B631-F4BF-4F2F-A63D-4A5B64FC654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x="18"/>
        <item t="default"/>
      </items>
    </pivotField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2EAA1-FD84-43F7-885F-7C9A5BCB26B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L5" firstHeaderRow="0" firstDataRow="1" firstDataCol="1"/>
  <pivotFields count="10"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dataField="1" dragToRow="0" dragToCol="0" dragToPage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8" baseField="0" baseItem="0"/>
    <dataField name="Number of Transactions" fld="0" subtotal="countNums" baseField="0" baseItem="0"/>
    <dataField name="Sum of AOV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DCC9A-C3B9-4C10-BB06-050D585D6BE8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3:I10" firstHeaderRow="1" firstDataRow="2" firstDataCol="1"/>
  <pivotFields count="11">
    <pivotField showAll="0"/>
    <pivotField showAll="0"/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1"/>
        <item x="3"/>
        <item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 ID" fld="2" subtotal="count" showDataAs="percentOfTotal" baseField="0" baseItem="0" numFmtId="10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0BACB-3B89-4259-81C5-9058A7B2A618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52" firstHeaderRow="1" firstDataRow="2" firstDataCol="1"/>
  <pivotFields count="10">
    <pivotField showAll="0"/>
    <pivotField showAll="0"/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t="default"/>
      </items>
    </pivotField>
    <pivotField axis="axisCol" multipleItemSelectionAllowed="1" showAll="0">
      <items count="4">
        <item x="1"/>
        <item x="0"/>
        <item h="1" x="2"/>
        <item t="default"/>
      </items>
    </pivotField>
    <pivotField axis="axisRow" showAll="0">
      <items count="49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x="47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59B2C-9CA3-405E-A5C7-89FE5B4726A5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M3:N17" firstHeaderRow="1" firstDataRow="1" firstDataCol="1"/>
  <pivotFields count="12">
    <pivotField showAll="0"/>
    <pivotField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47">
        <item x="137"/>
        <item h="1" x="158"/>
        <item x="190"/>
        <item x="240"/>
        <item x="258"/>
        <item x="217"/>
        <item x="207"/>
        <item x="68"/>
        <item x="291"/>
        <item x="152"/>
        <item x="77"/>
        <item x="215"/>
        <item x="187"/>
        <item x="126"/>
        <item x="114"/>
        <item x="340"/>
        <item x="128"/>
        <item x="173"/>
        <item x="132"/>
        <item x="341"/>
        <item x="211"/>
        <item x="45"/>
        <item x="113"/>
        <item x="92"/>
        <item x="297"/>
        <item x="89"/>
        <item x="163"/>
        <item x="143"/>
        <item x="226"/>
        <item x="39"/>
        <item x="25"/>
        <item x="339"/>
        <item x="99"/>
        <item x="138"/>
        <item x="221"/>
        <item x="30"/>
        <item x="170"/>
        <item x="301"/>
        <item x="194"/>
        <item x="145"/>
        <item x="234"/>
        <item x="336"/>
        <item x="279"/>
        <item x="201"/>
        <item x="135"/>
        <item x="324"/>
        <item x="151"/>
        <item x="228"/>
        <item x="57"/>
        <item x="46"/>
        <item x="334"/>
        <item x="179"/>
        <item x="284"/>
        <item x="53"/>
        <item x="12"/>
        <item x="328"/>
        <item x="209"/>
        <item x="19"/>
        <item x="59"/>
        <item x="121"/>
        <item x="74"/>
        <item x="149"/>
        <item x="214"/>
        <item x="4"/>
        <item x="264"/>
        <item x="65"/>
        <item x="298"/>
        <item x="147"/>
        <item x="233"/>
        <item x="41"/>
        <item x="237"/>
        <item x="326"/>
        <item x="227"/>
        <item x="150"/>
        <item x="98"/>
        <item x="142"/>
        <item x="252"/>
        <item x="206"/>
        <item x="9"/>
        <item x="155"/>
        <item x="274"/>
        <item x="199"/>
        <item x="195"/>
        <item x="249"/>
        <item x="181"/>
        <item x="193"/>
        <item x="276"/>
        <item x="321"/>
        <item x="102"/>
        <item x="140"/>
        <item x="283"/>
        <item x="75"/>
        <item x="236"/>
        <item x="332"/>
        <item x="307"/>
        <item x="176"/>
        <item x="55"/>
        <item x="119"/>
        <item x="159"/>
        <item x="67"/>
        <item x="183"/>
        <item x="331"/>
        <item x="153"/>
        <item x="289"/>
        <item x="174"/>
        <item x="141"/>
        <item x="48"/>
        <item x="239"/>
        <item x="294"/>
        <item x="318"/>
        <item x="210"/>
        <item x="327"/>
        <item x="107"/>
        <item x="49"/>
        <item x="235"/>
        <item x="70"/>
        <item x="166"/>
        <item x="213"/>
        <item x="317"/>
        <item x="273"/>
        <item x="271"/>
        <item x="86"/>
        <item x="133"/>
        <item x="124"/>
        <item x="296"/>
        <item x="120"/>
        <item x="186"/>
        <item x="316"/>
        <item x="105"/>
        <item x="22"/>
        <item x="320"/>
        <item x="302"/>
        <item x="322"/>
        <item x="269"/>
        <item x="205"/>
        <item x="281"/>
        <item x="216"/>
        <item x="2"/>
        <item x="146"/>
        <item x="6"/>
        <item x="157"/>
        <item x="305"/>
        <item x="308"/>
        <item x="47"/>
        <item x="160"/>
        <item x="93"/>
        <item x="81"/>
        <item x="52"/>
        <item x="8"/>
        <item x="20"/>
        <item x="10"/>
        <item x="224"/>
        <item x="285"/>
        <item x="37"/>
        <item x="306"/>
        <item x="127"/>
        <item x="257"/>
        <item x="220"/>
        <item x="266"/>
        <item x="267"/>
        <item x="97"/>
        <item x="225"/>
        <item x="100"/>
        <item x="139"/>
        <item x="116"/>
        <item x="196"/>
        <item x="212"/>
        <item x="21"/>
        <item x="229"/>
        <item x="112"/>
        <item x="14"/>
        <item x="108"/>
        <item x="312"/>
        <item x="42"/>
        <item x="83"/>
        <item x="295"/>
        <item x="18"/>
        <item x="230"/>
        <item x="275"/>
        <item x="72"/>
        <item x="13"/>
        <item x="15"/>
        <item x="255"/>
        <item x="342"/>
        <item x="71"/>
        <item x="278"/>
        <item x="115"/>
        <item x="303"/>
        <item x="129"/>
        <item x="222"/>
        <item x="131"/>
        <item x="82"/>
        <item x="182"/>
        <item x="253"/>
        <item x="69"/>
        <item x="88"/>
        <item x="265"/>
        <item x="27"/>
        <item x="106"/>
        <item x="91"/>
        <item x="51"/>
        <item x="244"/>
        <item x="254"/>
        <item x="38"/>
        <item x="309"/>
        <item x="90"/>
        <item x="79"/>
        <item x="171"/>
        <item x="202"/>
        <item x="304"/>
        <item x="270"/>
        <item x="218"/>
        <item x="292"/>
        <item x="80"/>
        <item x="260"/>
        <item x="189"/>
        <item x="111"/>
        <item x="175"/>
        <item x="241"/>
        <item x="248"/>
        <item x="162"/>
        <item x="177"/>
        <item x="168"/>
        <item x="156"/>
        <item x="219"/>
        <item x="62"/>
        <item x="34"/>
        <item x="35"/>
        <item x="3"/>
        <item x="288"/>
        <item x="314"/>
        <item x="63"/>
        <item x="172"/>
        <item x="338"/>
        <item x="245"/>
        <item x="333"/>
        <item x="256"/>
        <item x="7"/>
        <item x="125"/>
        <item x="16"/>
        <item x="247"/>
        <item x="36"/>
        <item x="94"/>
        <item x="290"/>
        <item x="161"/>
        <item x="293"/>
        <item x="64"/>
        <item x="311"/>
        <item x="43"/>
        <item x="238"/>
        <item x="31"/>
        <item x="26"/>
        <item x="29"/>
        <item x="165"/>
        <item x="323"/>
        <item x="96"/>
        <item x="299"/>
        <item x="54"/>
        <item x="250"/>
        <item x="204"/>
        <item x="58"/>
        <item x="130"/>
        <item x="134"/>
        <item x="262"/>
        <item x="329"/>
        <item x="33"/>
        <item x="104"/>
        <item x="44"/>
        <item x="272"/>
        <item x="208"/>
        <item x="0"/>
        <item x="32"/>
        <item x="109"/>
        <item x="192"/>
        <item x="66"/>
        <item x="5"/>
        <item x="242"/>
        <item x="243"/>
        <item x="87"/>
        <item x="78"/>
        <item x="223"/>
        <item x="268"/>
        <item x="123"/>
        <item x="319"/>
        <item x="197"/>
        <item x="110"/>
        <item x="154"/>
        <item x="164"/>
        <item x="232"/>
        <item x="40"/>
        <item x="191"/>
        <item x="300"/>
        <item x="335"/>
        <item x="103"/>
        <item x="95"/>
        <item x="24"/>
        <item x="246"/>
        <item x="1"/>
        <item x="200"/>
        <item x="60"/>
        <item x="203"/>
        <item x="325"/>
        <item x="282"/>
        <item x="286"/>
        <item x="101"/>
        <item x="188"/>
        <item x="56"/>
        <item x="185"/>
        <item x="122"/>
        <item x="287"/>
        <item x="85"/>
        <item x="344"/>
        <item x="231"/>
        <item x="180"/>
        <item x="117"/>
        <item x="118"/>
        <item x="73"/>
        <item x="251"/>
        <item x="84"/>
        <item x="76"/>
        <item x="310"/>
        <item x="61"/>
        <item x="263"/>
        <item x="277"/>
        <item x="261"/>
        <item x="136"/>
        <item x="28"/>
        <item x="23"/>
        <item x="167"/>
        <item x="144"/>
        <item x="343"/>
        <item x="17"/>
        <item x="337"/>
        <item x="313"/>
        <item x="184"/>
        <item x="148"/>
        <item x="11"/>
        <item x="198"/>
        <item x="169"/>
        <item x="280"/>
        <item x="50"/>
        <item x="259"/>
        <item x="178"/>
        <item x="315"/>
        <item x="330"/>
        <item x="345"/>
        <item t="default"/>
      </items>
    </pivotField>
    <pivotField showAll="0">
      <items count="2"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F722F-7940-4136-8213-EB9DD77C65C9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I17:K21" firstHeaderRow="0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5">
        <item h="1" x="3"/>
        <item x="2"/>
        <item x="1"/>
        <item x="0"/>
        <item t="default"/>
      </items>
    </pivotField>
    <pivotField showAll="0"/>
    <pivotField showAll="0"/>
    <pivotField dataField="1" showAll="0">
      <items count="20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h="1" x="18"/>
        <item t="default"/>
      </items>
    </pivotField>
    <pivotField dragToRow="0" dragToCol="0" dragToPage="0" showAll="0" defaultSubtotal="0"/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8" baseField="0" baseItem="0"/>
    <dataField name="Sum of Total Amount2" fld="8" showDataAs="percentOfTotal" baseField="0" baseItem="0" numFmtId="10"/>
  </dataFields>
  <chartFormats count="10">
    <chartFormat chart="3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63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63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1711-9F09-4ABD-AACA-0E5F7657EB84}">
  <dimension ref="A1:K1001"/>
  <sheetViews>
    <sheetView workbookViewId="0">
      <selection activeCell="N19" sqref="N19"/>
    </sheetView>
  </sheetViews>
  <sheetFormatPr defaultRowHeight="14.4" x14ac:dyDescent="0.3"/>
  <cols>
    <col min="9" max="9" width="13.109375" customWidth="1"/>
    <col min="10" max="10" width="12.109375" customWidth="1"/>
    <col min="11" max="11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1037</v>
      </c>
    </row>
    <row r="2" spans="1:11" x14ac:dyDescent="0.3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 t="str">
        <f>TEXT(B2,"dd/mm/yyyy")</f>
        <v>24/11/2023</v>
      </c>
      <c r="K2" t="str">
        <f>IF(E2&lt;18,"Under 18",IF(E2&lt;=25,"18-25",IF(E2&lt;=35,"26-35",IF(E2&lt;=45,"36-45",IF(E2&lt;=60,"46-60","60+")))))</f>
        <v>26-35</v>
      </c>
    </row>
    <row r="3" spans="1:11" x14ac:dyDescent="0.3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 t="str">
        <f t="shared" ref="J3:J66" si="0">TEXT(B3,"dd/mm/yyyy")</f>
        <v>27/02/2023</v>
      </c>
      <c r="K3" t="str">
        <f t="shared" ref="K3:K66" si="1">IF(E3&lt;18,"Under 18",IF(E3&lt;=25,"18-25",IF(E3&lt;=35,"26-35",IF(E3&lt;=45,"36-45",IF(E3&lt;=60,"46-60","60+")))))</f>
        <v>26-35</v>
      </c>
    </row>
    <row r="4" spans="1:11" x14ac:dyDescent="0.3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 t="str">
        <f t="shared" si="0"/>
        <v>13/01/2023</v>
      </c>
      <c r="K4" t="str">
        <f t="shared" si="1"/>
        <v>46-60</v>
      </c>
    </row>
    <row r="5" spans="1:11" x14ac:dyDescent="0.3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 t="str">
        <f t="shared" si="0"/>
        <v>21/05/2023</v>
      </c>
      <c r="K5" t="str">
        <f t="shared" si="1"/>
        <v>36-45</v>
      </c>
    </row>
    <row r="6" spans="1:11" x14ac:dyDescent="0.3">
      <c r="A6">
        <v>5</v>
      </c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 t="str">
        <f t="shared" si="0"/>
        <v>06/05/2023</v>
      </c>
      <c r="K6" t="str">
        <f t="shared" si="1"/>
        <v>26-35</v>
      </c>
    </row>
    <row r="7" spans="1:11" x14ac:dyDescent="0.3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 t="str">
        <f t="shared" si="0"/>
        <v>25/04/2023</v>
      </c>
      <c r="K7" t="str">
        <f t="shared" si="1"/>
        <v>36-45</v>
      </c>
    </row>
    <row r="8" spans="1:11" x14ac:dyDescent="0.3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 t="str">
        <f t="shared" si="0"/>
        <v>13/03/2023</v>
      </c>
      <c r="K8" t="str">
        <f t="shared" si="1"/>
        <v>46-60</v>
      </c>
    </row>
    <row r="9" spans="1:11" x14ac:dyDescent="0.3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 t="str">
        <f t="shared" si="0"/>
        <v>22/02/2023</v>
      </c>
      <c r="K9" t="str">
        <f t="shared" si="1"/>
        <v>26-35</v>
      </c>
    </row>
    <row r="10" spans="1:11" x14ac:dyDescent="0.3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 t="str">
        <f t="shared" si="0"/>
        <v>13/12/2023</v>
      </c>
      <c r="K10" t="str">
        <f t="shared" si="1"/>
        <v>60+</v>
      </c>
    </row>
    <row r="11" spans="1:11" x14ac:dyDescent="0.3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 t="str">
        <f t="shared" si="0"/>
        <v>07/10/2023</v>
      </c>
      <c r="K11" t="str">
        <f t="shared" si="1"/>
        <v>46-60</v>
      </c>
    </row>
    <row r="12" spans="1:11" x14ac:dyDescent="0.3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 t="str">
        <f t="shared" si="0"/>
        <v>14/02/2023</v>
      </c>
      <c r="K12" t="str">
        <f t="shared" si="1"/>
        <v>18-25</v>
      </c>
    </row>
    <row r="13" spans="1:11" x14ac:dyDescent="0.3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 t="str">
        <f t="shared" si="0"/>
        <v>30/10/2023</v>
      </c>
      <c r="K13" t="str">
        <f t="shared" si="1"/>
        <v>26-35</v>
      </c>
    </row>
    <row r="14" spans="1:11" x14ac:dyDescent="0.3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 t="str">
        <f t="shared" si="0"/>
        <v>05/08/2023</v>
      </c>
      <c r="K14" t="str">
        <f t="shared" si="1"/>
        <v>18-25</v>
      </c>
    </row>
    <row r="15" spans="1:11" x14ac:dyDescent="0.3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 t="str">
        <f t="shared" si="0"/>
        <v>17/01/2023</v>
      </c>
      <c r="K15" t="str">
        <f t="shared" si="1"/>
        <v>60+</v>
      </c>
    </row>
    <row r="16" spans="1:11" x14ac:dyDescent="0.3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 t="str">
        <f t="shared" si="0"/>
        <v>16/01/2023</v>
      </c>
      <c r="K16" t="str">
        <f t="shared" si="1"/>
        <v>36-45</v>
      </c>
    </row>
    <row r="17" spans="1:11" x14ac:dyDescent="0.3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 t="str">
        <f t="shared" si="0"/>
        <v>17/02/2023</v>
      </c>
      <c r="K17" t="str">
        <f t="shared" si="1"/>
        <v>18-25</v>
      </c>
    </row>
    <row r="18" spans="1:11" x14ac:dyDescent="0.3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 t="str">
        <f t="shared" si="0"/>
        <v>22/04/2023</v>
      </c>
      <c r="K18" t="str">
        <f t="shared" si="1"/>
        <v>26-35</v>
      </c>
    </row>
    <row r="19" spans="1:11" x14ac:dyDescent="0.3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 t="str">
        <f t="shared" si="0"/>
        <v>30/04/2023</v>
      </c>
      <c r="K19" t="str">
        <f t="shared" si="1"/>
        <v>46-60</v>
      </c>
    </row>
    <row r="20" spans="1:11" x14ac:dyDescent="0.3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 t="str">
        <f t="shared" si="0"/>
        <v>16/09/2023</v>
      </c>
      <c r="K20" t="str">
        <f t="shared" si="1"/>
        <v>60+</v>
      </c>
    </row>
    <row r="21" spans="1:11" x14ac:dyDescent="0.3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 t="str">
        <f t="shared" si="0"/>
        <v>05/11/2023</v>
      </c>
      <c r="K21" t="str">
        <f t="shared" si="1"/>
        <v>18-25</v>
      </c>
    </row>
    <row r="22" spans="1:11" x14ac:dyDescent="0.3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 t="str">
        <f t="shared" si="0"/>
        <v>14/01/2023</v>
      </c>
      <c r="K22" t="str">
        <f t="shared" si="1"/>
        <v>46-60</v>
      </c>
    </row>
    <row r="23" spans="1:11" x14ac:dyDescent="0.3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 t="str">
        <f t="shared" si="0"/>
        <v>15/10/2023</v>
      </c>
      <c r="K23" t="str">
        <f t="shared" si="1"/>
        <v>18-25</v>
      </c>
    </row>
    <row r="24" spans="1:11" x14ac:dyDescent="0.3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 t="str">
        <f t="shared" si="0"/>
        <v>12/04/2023</v>
      </c>
      <c r="K24" t="str">
        <f t="shared" si="1"/>
        <v>26-35</v>
      </c>
    </row>
    <row r="25" spans="1:11" x14ac:dyDescent="0.3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 t="str">
        <f t="shared" si="0"/>
        <v>29/11/2023</v>
      </c>
      <c r="K25" t="str">
        <f t="shared" si="1"/>
        <v>46-60</v>
      </c>
    </row>
    <row r="26" spans="1:11" x14ac:dyDescent="0.3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 t="str">
        <f t="shared" si="0"/>
        <v>26/12/2023</v>
      </c>
      <c r="K26" t="str">
        <f t="shared" si="1"/>
        <v>60+</v>
      </c>
    </row>
    <row r="27" spans="1:11" x14ac:dyDescent="0.3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 t="str">
        <f t="shared" si="0"/>
        <v>07/10/2023</v>
      </c>
      <c r="K27" t="str">
        <f t="shared" si="1"/>
        <v>26-35</v>
      </c>
    </row>
    <row r="28" spans="1:11" x14ac:dyDescent="0.3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 t="str">
        <f t="shared" si="0"/>
        <v>03/08/2023</v>
      </c>
      <c r="K28" t="str">
        <f t="shared" si="1"/>
        <v>36-45</v>
      </c>
    </row>
    <row r="29" spans="1:11" x14ac:dyDescent="0.3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 t="str">
        <f t="shared" si="0"/>
        <v>23/04/2023</v>
      </c>
      <c r="K29" t="str">
        <f t="shared" si="1"/>
        <v>36-45</v>
      </c>
    </row>
    <row r="30" spans="1:11" x14ac:dyDescent="0.3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 t="str">
        <f t="shared" si="0"/>
        <v>18/08/2023</v>
      </c>
      <c r="K30" t="str">
        <f t="shared" si="1"/>
        <v>36-45</v>
      </c>
    </row>
    <row r="31" spans="1:11" x14ac:dyDescent="0.3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 t="str">
        <f t="shared" si="0"/>
        <v>29/10/2023</v>
      </c>
      <c r="K31" t="str">
        <f t="shared" si="1"/>
        <v>36-45</v>
      </c>
    </row>
    <row r="32" spans="1:11" x14ac:dyDescent="0.3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 t="str">
        <f t="shared" si="0"/>
        <v>23/05/2023</v>
      </c>
      <c r="K32" t="str">
        <f t="shared" si="1"/>
        <v>36-45</v>
      </c>
    </row>
    <row r="33" spans="1:11" x14ac:dyDescent="0.3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 t="str">
        <f t="shared" si="0"/>
        <v>04/01/2023</v>
      </c>
      <c r="K33" t="str">
        <f t="shared" si="1"/>
        <v>26-35</v>
      </c>
    </row>
    <row r="34" spans="1:11" x14ac:dyDescent="0.3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 t="str">
        <f t="shared" si="0"/>
        <v>23/03/2023</v>
      </c>
      <c r="K34" t="str">
        <f t="shared" si="1"/>
        <v>46-60</v>
      </c>
    </row>
    <row r="35" spans="1:11" x14ac:dyDescent="0.3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 t="str">
        <f t="shared" si="0"/>
        <v>24/12/2023</v>
      </c>
      <c r="K35" t="str">
        <f t="shared" si="1"/>
        <v>46-60</v>
      </c>
    </row>
    <row r="36" spans="1:11" x14ac:dyDescent="0.3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 t="str">
        <f t="shared" si="0"/>
        <v>05/08/2023</v>
      </c>
      <c r="K36" t="str">
        <f t="shared" si="1"/>
        <v>46-60</v>
      </c>
    </row>
    <row r="37" spans="1:11" x14ac:dyDescent="0.3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 t="str">
        <f t="shared" si="0"/>
        <v>24/06/2023</v>
      </c>
      <c r="K37" t="str">
        <f t="shared" si="1"/>
        <v>46-60</v>
      </c>
    </row>
    <row r="38" spans="1:11" x14ac:dyDescent="0.3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 t="str">
        <f t="shared" si="0"/>
        <v>23/05/2023</v>
      </c>
      <c r="K38" t="str">
        <f t="shared" si="1"/>
        <v>18-25</v>
      </c>
    </row>
    <row r="39" spans="1:11" x14ac:dyDescent="0.3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 t="str">
        <f t="shared" si="0"/>
        <v>21/03/2023</v>
      </c>
      <c r="K39" t="str">
        <f t="shared" si="1"/>
        <v>36-45</v>
      </c>
    </row>
    <row r="40" spans="1:11" x14ac:dyDescent="0.3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 t="str">
        <f t="shared" si="0"/>
        <v>21/04/2023</v>
      </c>
      <c r="K40" t="str">
        <f t="shared" si="1"/>
        <v>18-25</v>
      </c>
    </row>
    <row r="41" spans="1:11" x14ac:dyDescent="0.3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 t="str">
        <f t="shared" si="0"/>
        <v>22/06/2023</v>
      </c>
      <c r="K41" t="str">
        <f t="shared" si="1"/>
        <v>36-45</v>
      </c>
    </row>
    <row r="42" spans="1:11" x14ac:dyDescent="0.3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 t="str">
        <f t="shared" si="0"/>
        <v>22/02/2023</v>
      </c>
      <c r="K42" t="str">
        <f t="shared" si="1"/>
        <v>26-35</v>
      </c>
    </row>
    <row r="43" spans="1:11" x14ac:dyDescent="0.3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 t="str">
        <f t="shared" si="0"/>
        <v>17/02/2023</v>
      </c>
      <c r="K43" t="str">
        <f t="shared" si="1"/>
        <v>18-25</v>
      </c>
    </row>
    <row r="44" spans="1:11" x14ac:dyDescent="0.3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 t="str">
        <f t="shared" si="0"/>
        <v>14/07/2023</v>
      </c>
      <c r="K44" t="str">
        <f t="shared" si="1"/>
        <v>46-60</v>
      </c>
    </row>
    <row r="45" spans="1:11" x14ac:dyDescent="0.3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 t="str">
        <f t="shared" si="0"/>
        <v>19/02/2023</v>
      </c>
      <c r="K45" t="str">
        <f t="shared" si="1"/>
        <v>18-25</v>
      </c>
    </row>
    <row r="46" spans="1:11" x14ac:dyDescent="0.3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 t="str">
        <f t="shared" si="0"/>
        <v>03/07/2023</v>
      </c>
      <c r="K46" t="str">
        <f t="shared" si="1"/>
        <v>46-60</v>
      </c>
    </row>
    <row r="47" spans="1:11" x14ac:dyDescent="0.3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 t="str">
        <f t="shared" si="0"/>
        <v>26/06/2023</v>
      </c>
      <c r="K47" t="str">
        <f t="shared" si="1"/>
        <v>18-25</v>
      </c>
    </row>
    <row r="48" spans="1:11" x14ac:dyDescent="0.3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 t="str">
        <f t="shared" si="0"/>
        <v>06/11/2023</v>
      </c>
      <c r="K48" t="str">
        <f t="shared" si="1"/>
        <v>36-45</v>
      </c>
    </row>
    <row r="49" spans="1:11" x14ac:dyDescent="0.3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 t="str">
        <f t="shared" si="0"/>
        <v>16/05/2023</v>
      </c>
      <c r="K49" t="str">
        <f t="shared" si="1"/>
        <v>46-60</v>
      </c>
    </row>
    <row r="50" spans="1:11" x14ac:dyDescent="0.3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 t="str">
        <f t="shared" si="0"/>
        <v>23/01/2023</v>
      </c>
      <c r="K50" t="str">
        <f t="shared" si="1"/>
        <v>46-60</v>
      </c>
    </row>
    <row r="51" spans="1:11" x14ac:dyDescent="0.3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 t="str">
        <f t="shared" si="0"/>
        <v>24/08/2023</v>
      </c>
      <c r="K51" t="str">
        <f t="shared" si="1"/>
        <v>26-35</v>
      </c>
    </row>
    <row r="52" spans="1:11" x14ac:dyDescent="0.3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 t="str">
        <f t="shared" si="0"/>
        <v>02/10/2023</v>
      </c>
      <c r="K52" t="str">
        <f t="shared" si="1"/>
        <v>26-35</v>
      </c>
    </row>
    <row r="53" spans="1:11" x14ac:dyDescent="0.3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 t="str">
        <f t="shared" si="0"/>
        <v>05/03/2023</v>
      </c>
      <c r="K53" t="str">
        <f t="shared" si="1"/>
        <v>36-45</v>
      </c>
    </row>
    <row r="54" spans="1:11" x14ac:dyDescent="0.3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 t="str">
        <f t="shared" si="0"/>
        <v>13/07/2023</v>
      </c>
      <c r="K54" t="str">
        <f t="shared" si="1"/>
        <v>26-35</v>
      </c>
    </row>
    <row r="55" spans="1:11" x14ac:dyDescent="0.3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 t="str">
        <f t="shared" si="0"/>
        <v>10/02/2023</v>
      </c>
      <c r="K55" t="str">
        <f t="shared" si="1"/>
        <v>36-45</v>
      </c>
    </row>
    <row r="56" spans="1:11" x14ac:dyDescent="0.3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 t="str">
        <f t="shared" si="0"/>
        <v>10/10/2023</v>
      </c>
      <c r="K56" t="str">
        <f t="shared" si="1"/>
        <v>26-35</v>
      </c>
    </row>
    <row r="57" spans="1:11" x14ac:dyDescent="0.3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 t="str">
        <f t="shared" si="0"/>
        <v>31/05/2023</v>
      </c>
      <c r="K57" t="str">
        <f t="shared" si="1"/>
        <v>26-35</v>
      </c>
    </row>
    <row r="58" spans="1:11" x14ac:dyDescent="0.3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 t="str">
        <f t="shared" si="0"/>
        <v>18/11/2023</v>
      </c>
      <c r="K58" t="str">
        <f t="shared" si="1"/>
        <v>60+</v>
      </c>
    </row>
    <row r="59" spans="1:11" x14ac:dyDescent="0.3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 t="str">
        <f t="shared" si="0"/>
        <v>13/11/2023</v>
      </c>
      <c r="K59" t="str">
        <f t="shared" si="1"/>
        <v>18-25</v>
      </c>
    </row>
    <row r="60" spans="1:11" x14ac:dyDescent="0.3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 t="str">
        <f t="shared" si="0"/>
        <v>05/07/2023</v>
      </c>
      <c r="K60" t="str">
        <f t="shared" si="1"/>
        <v>60+</v>
      </c>
    </row>
    <row r="61" spans="1:11" x14ac:dyDescent="0.3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 t="str">
        <f t="shared" si="0"/>
        <v>23/10/2023</v>
      </c>
      <c r="K61" t="str">
        <f t="shared" si="1"/>
        <v>26-35</v>
      </c>
    </row>
    <row r="62" spans="1:11" x14ac:dyDescent="0.3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 t="str">
        <f t="shared" si="0"/>
        <v>09/04/2023</v>
      </c>
      <c r="K62" t="str">
        <f t="shared" si="1"/>
        <v>18-25</v>
      </c>
    </row>
    <row r="63" spans="1:11" x14ac:dyDescent="0.3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 t="str">
        <f t="shared" si="0"/>
        <v>27/12/2023</v>
      </c>
      <c r="K63" t="str">
        <f t="shared" si="1"/>
        <v>18-25</v>
      </c>
    </row>
    <row r="64" spans="1:11" x14ac:dyDescent="0.3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 t="str">
        <f t="shared" si="0"/>
        <v>05/02/2023</v>
      </c>
      <c r="K64" t="str">
        <f t="shared" si="1"/>
        <v>46-60</v>
      </c>
    </row>
    <row r="65" spans="1:11" x14ac:dyDescent="0.3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 t="str">
        <f t="shared" si="0"/>
        <v>24/01/2023</v>
      </c>
      <c r="K65" t="str">
        <f t="shared" si="1"/>
        <v>46-60</v>
      </c>
    </row>
    <row r="66" spans="1:11" x14ac:dyDescent="0.3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 t="str">
        <f t="shared" si="0"/>
        <v>05/12/2023</v>
      </c>
      <c r="K66" t="str">
        <f t="shared" si="1"/>
        <v>46-60</v>
      </c>
    </row>
    <row r="67" spans="1:11" x14ac:dyDescent="0.3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 t="str">
        <f t="shared" ref="J67:J130" si="2">TEXT(B67,"dd/mm/yyyy")</f>
        <v>27/04/2023</v>
      </c>
      <c r="K67" t="str">
        <f t="shared" ref="K67:K130" si="3">IF(E67&lt;18,"Under 18",IF(E67&lt;=25,"18-25",IF(E67&lt;=35,"26-35",IF(E67&lt;=45,"36-45",IF(E67&lt;=60,"46-60","60+")))))</f>
        <v>36-45</v>
      </c>
    </row>
    <row r="68" spans="1:11" x14ac:dyDescent="0.3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 t="str">
        <f t="shared" si="2"/>
        <v>29/05/2023</v>
      </c>
      <c r="K68" t="str">
        <f t="shared" si="3"/>
        <v>46-60</v>
      </c>
    </row>
    <row r="69" spans="1:11" x14ac:dyDescent="0.3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 t="str">
        <f t="shared" si="2"/>
        <v>10/02/2023</v>
      </c>
      <c r="K69" t="str">
        <f t="shared" si="3"/>
        <v>18-25</v>
      </c>
    </row>
    <row r="70" spans="1:11" x14ac:dyDescent="0.3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 t="str">
        <f t="shared" si="2"/>
        <v>30/04/2023</v>
      </c>
      <c r="K70" t="str">
        <f t="shared" si="3"/>
        <v>46-60</v>
      </c>
    </row>
    <row r="71" spans="1:11" x14ac:dyDescent="0.3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 t="str">
        <f t="shared" si="2"/>
        <v>21/02/2023</v>
      </c>
      <c r="K71" t="str">
        <f t="shared" si="3"/>
        <v>36-45</v>
      </c>
    </row>
    <row r="72" spans="1:11" x14ac:dyDescent="0.3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 t="str">
        <f t="shared" si="2"/>
        <v>14/07/2023</v>
      </c>
      <c r="K72" t="str">
        <f t="shared" si="3"/>
        <v>46-60</v>
      </c>
    </row>
    <row r="73" spans="1:11" x14ac:dyDescent="0.3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 t="str">
        <f t="shared" si="2"/>
        <v>23/05/2023</v>
      </c>
      <c r="K73" t="str">
        <f t="shared" si="3"/>
        <v>18-25</v>
      </c>
    </row>
    <row r="74" spans="1:11" x14ac:dyDescent="0.3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 t="str">
        <f t="shared" si="2"/>
        <v>21/08/2023</v>
      </c>
      <c r="K74" t="str">
        <f t="shared" si="3"/>
        <v>26-35</v>
      </c>
    </row>
    <row r="75" spans="1:11" x14ac:dyDescent="0.3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 t="str">
        <f t="shared" si="2"/>
        <v>22/11/2023</v>
      </c>
      <c r="K75" t="str">
        <f t="shared" si="3"/>
        <v>18-25</v>
      </c>
    </row>
    <row r="76" spans="1:11" x14ac:dyDescent="0.3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 t="str">
        <f t="shared" si="2"/>
        <v>06/07/2023</v>
      </c>
      <c r="K76" t="str">
        <f t="shared" si="3"/>
        <v>60+</v>
      </c>
    </row>
    <row r="77" spans="1:11" x14ac:dyDescent="0.3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 t="str">
        <f t="shared" si="2"/>
        <v>25/03/2023</v>
      </c>
      <c r="K77" t="str">
        <f t="shared" si="3"/>
        <v>18-25</v>
      </c>
    </row>
    <row r="78" spans="1:11" x14ac:dyDescent="0.3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 t="str">
        <f t="shared" si="2"/>
        <v>09/07/2023</v>
      </c>
      <c r="K78" t="str">
        <f t="shared" si="3"/>
        <v>46-60</v>
      </c>
    </row>
    <row r="79" spans="1:11" x14ac:dyDescent="0.3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 t="str">
        <f t="shared" si="2"/>
        <v>01/07/2023</v>
      </c>
      <c r="K79" t="str">
        <f t="shared" si="3"/>
        <v>46-60</v>
      </c>
    </row>
    <row r="80" spans="1:11" x14ac:dyDescent="0.3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 t="str">
        <f t="shared" si="2"/>
        <v>18/04/2023</v>
      </c>
      <c r="K80" t="str">
        <f t="shared" si="3"/>
        <v>26-35</v>
      </c>
    </row>
    <row r="81" spans="1:11" x14ac:dyDescent="0.3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 t="str">
        <f t="shared" si="2"/>
        <v>10/12/2023</v>
      </c>
      <c r="K81" t="str">
        <f t="shared" si="3"/>
        <v>60+</v>
      </c>
    </row>
    <row r="82" spans="1:11" x14ac:dyDescent="0.3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 t="str">
        <f t="shared" si="2"/>
        <v>17/05/2023</v>
      </c>
      <c r="K82" t="str">
        <f t="shared" si="3"/>
        <v>36-45</v>
      </c>
    </row>
    <row r="83" spans="1:11" x14ac:dyDescent="0.3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 t="str">
        <f t="shared" si="2"/>
        <v>26/12/2023</v>
      </c>
      <c r="K83" t="str">
        <f t="shared" si="3"/>
        <v>26-35</v>
      </c>
    </row>
    <row r="84" spans="1:11" x14ac:dyDescent="0.3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 t="str">
        <f t="shared" si="2"/>
        <v>16/12/2023</v>
      </c>
      <c r="K84" t="str">
        <f t="shared" si="3"/>
        <v>46-60</v>
      </c>
    </row>
    <row r="85" spans="1:11" x14ac:dyDescent="0.3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 t="str">
        <f t="shared" si="2"/>
        <v>28/11/2023</v>
      </c>
      <c r="K85" t="str">
        <f t="shared" si="3"/>
        <v>36-45</v>
      </c>
    </row>
    <row r="86" spans="1:11" x14ac:dyDescent="0.3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 t="str">
        <f t="shared" si="2"/>
        <v>06/02/2023</v>
      </c>
      <c r="K86" t="str">
        <f t="shared" si="3"/>
        <v>26-35</v>
      </c>
    </row>
    <row r="87" spans="1:11" x14ac:dyDescent="0.3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 t="str">
        <f t="shared" si="2"/>
        <v>08/11/2023</v>
      </c>
      <c r="K87" t="str">
        <f t="shared" si="3"/>
        <v>18-25</v>
      </c>
    </row>
    <row r="88" spans="1:11" x14ac:dyDescent="0.3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 t="str">
        <f t="shared" si="2"/>
        <v>22/11/2023</v>
      </c>
      <c r="K88" t="str">
        <f t="shared" si="3"/>
        <v>26-35</v>
      </c>
    </row>
    <row r="89" spans="1:11" x14ac:dyDescent="0.3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 t="str">
        <f t="shared" si="2"/>
        <v>29/03/2023</v>
      </c>
      <c r="K89" t="str">
        <f t="shared" si="3"/>
        <v>46-60</v>
      </c>
    </row>
    <row r="90" spans="1:11" x14ac:dyDescent="0.3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 t="str">
        <f t="shared" si="2"/>
        <v>01/10/2023</v>
      </c>
      <c r="K90" t="str">
        <f t="shared" si="3"/>
        <v>46-60</v>
      </c>
    </row>
    <row r="91" spans="1:11" x14ac:dyDescent="0.3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 t="str">
        <f t="shared" si="2"/>
        <v>06/05/2023</v>
      </c>
      <c r="K91" t="str">
        <f t="shared" si="3"/>
        <v>46-60</v>
      </c>
    </row>
    <row r="92" spans="1:11" x14ac:dyDescent="0.3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 t="str">
        <f t="shared" si="2"/>
        <v>25/03/2023</v>
      </c>
      <c r="K92" t="str">
        <f t="shared" si="3"/>
        <v>46-60</v>
      </c>
    </row>
    <row r="93" spans="1:11" x14ac:dyDescent="0.3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 t="str">
        <f t="shared" si="2"/>
        <v>25/08/2023</v>
      </c>
      <c r="K93" t="str">
        <f t="shared" si="3"/>
        <v>46-60</v>
      </c>
    </row>
    <row r="94" spans="1:11" x14ac:dyDescent="0.3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 t="str">
        <f t="shared" si="2"/>
        <v>14/07/2023</v>
      </c>
      <c r="K94" t="str">
        <f t="shared" si="3"/>
        <v>26-35</v>
      </c>
    </row>
    <row r="95" spans="1:11" x14ac:dyDescent="0.3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 t="str">
        <f t="shared" si="2"/>
        <v>19/05/2023</v>
      </c>
      <c r="K95" t="str">
        <f t="shared" si="3"/>
        <v>46-60</v>
      </c>
    </row>
    <row r="96" spans="1:11" x14ac:dyDescent="0.3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 t="str">
        <f t="shared" si="2"/>
        <v>24/11/2023</v>
      </c>
      <c r="K96" t="str">
        <f t="shared" si="3"/>
        <v>26-35</v>
      </c>
    </row>
    <row r="97" spans="1:11" x14ac:dyDescent="0.3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 t="str">
        <f t="shared" si="2"/>
        <v>19/12/2023</v>
      </c>
      <c r="K97" t="str">
        <f t="shared" si="3"/>
        <v>36-45</v>
      </c>
    </row>
    <row r="98" spans="1:11" x14ac:dyDescent="0.3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 t="str">
        <f t="shared" si="2"/>
        <v>13/10/2023</v>
      </c>
      <c r="K98" t="str">
        <f t="shared" si="3"/>
        <v>46-60</v>
      </c>
    </row>
    <row r="99" spans="1:11" x14ac:dyDescent="0.3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 t="str">
        <f t="shared" si="2"/>
        <v>23/04/2023</v>
      </c>
      <c r="K99" t="str">
        <f t="shared" si="3"/>
        <v>46-60</v>
      </c>
    </row>
    <row r="100" spans="1:11" x14ac:dyDescent="0.3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 t="str">
        <f t="shared" si="2"/>
        <v>17/12/2023</v>
      </c>
      <c r="K100" t="str">
        <f t="shared" si="3"/>
        <v>46-60</v>
      </c>
    </row>
    <row r="101" spans="1:11" x14ac:dyDescent="0.3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 t="str">
        <f t="shared" si="2"/>
        <v>16/06/2023</v>
      </c>
      <c r="K101" t="str">
        <f t="shared" si="3"/>
        <v>36-45</v>
      </c>
    </row>
    <row r="102" spans="1:11" x14ac:dyDescent="0.3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 t="str">
        <f t="shared" si="2"/>
        <v>29/01/2023</v>
      </c>
      <c r="K102" t="str">
        <f t="shared" si="3"/>
        <v>26-35</v>
      </c>
    </row>
    <row r="103" spans="1:11" x14ac:dyDescent="0.3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 t="str">
        <f t="shared" si="2"/>
        <v>28/04/2023</v>
      </c>
      <c r="K103" t="str">
        <f t="shared" si="3"/>
        <v>46-60</v>
      </c>
    </row>
    <row r="104" spans="1:11" x14ac:dyDescent="0.3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 t="str">
        <f t="shared" si="2"/>
        <v>17/01/2023</v>
      </c>
      <c r="K104" t="str">
        <f t="shared" si="3"/>
        <v>46-60</v>
      </c>
    </row>
    <row r="105" spans="1:11" x14ac:dyDescent="0.3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 t="str">
        <f t="shared" si="2"/>
        <v>11/06/2023</v>
      </c>
      <c r="K105" t="str">
        <f t="shared" si="3"/>
        <v>26-35</v>
      </c>
    </row>
    <row r="106" spans="1:11" x14ac:dyDescent="0.3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 t="str">
        <f t="shared" si="2"/>
        <v>25/07/2023</v>
      </c>
      <c r="K106" t="str">
        <f t="shared" si="3"/>
        <v>18-25</v>
      </c>
    </row>
    <row r="107" spans="1:11" x14ac:dyDescent="0.3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 t="str">
        <f t="shared" si="2"/>
        <v>18/05/2023</v>
      </c>
      <c r="K107" t="str">
        <f t="shared" si="3"/>
        <v>46-60</v>
      </c>
    </row>
    <row r="108" spans="1:11" x14ac:dyDescent="0.3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 t="str">
        <f t="shared" si="2"/>
        <v>03/02/2023</v>
      </c>
      <c r="K108" t="str">
        <f t="shared" si="3"/>
        <v>18-25</v>
      </c>
    </row>
    <row r="109" spans="1:11" x14ac:dyDescent="0.3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 t="str">
        <f t="shared" si="2"/>
        <v>19/04/2023</v>
      </c>
      <c r="K109" t="str">
        <f t="shared" si="3"/>
        <v>26-35</v>
      </c>
    </row>
    <row r="110" spans="1:11" x14ac:dyDescent="0.3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 t="str">
        <f t="shared" si="2"/>
        <v>18/10/2023</v>
      </c>
      <c r="K110" t="str">
        <f t="shared" si="3"/>
        <v>26-35</v>
      </c>
    </row>
    <row r="111" spans="1:11" x14ac:dyDescent="0.3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 t="str">
        <f t="shared" si="2"/>
        <v>11/06/2023</v>
      </c>
      <c r="K111" t="str">
        <f t="shared" si="3"/>
        <v>26-35</v>
      </c>
    </row>
    <row r="112" spans="1:11" x14ac:dyDescent="0.3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 t="str">
        <f t="shared" si="2"/>
        <v>19/04/2023</v>
      </c>
      <c r="K112" t="str">
        <f t="shared" si="3"/>
        <v>26-35</v>
      </c>
    </row>
    <row r="113" spans="1:11" x14ac:dyDescent="0.3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 t="str">
        <f t="shared" si="2"/>
        <v>02/12/2023</v>
      </c>
      <c r="K113" t="str">
        <f t="shared" si="3"/>
        <v>36-45</v>
      </c>
    </row>
    <row r="114" spans="1:11" x14ac:dyDescent="0.3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 t="str">
        <f t="shared" si="2"/>
        <v>13/09/2023</v>
      </c>
      <c r="K114" t="str">
        <f t="shared" si="3"/>
        <v>36-45</v>
      </c>
    </row>
    <row r="115" spans="1:11" x14ac:dyDescent="0.3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 t="str">
        <f t="shared" si="2"/>
        <v>22/07/2023</v>
      </c>
      <c r="K115" t="str">
        <f t="shared" si="3"/>
        <v>18-25</v>
      </c>
    </row>
    <row r="116" spans="1:11" x14ac:dyDescent="0.3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 t="str">
        <f t="shared" si="2"/>
        <v>26/11/2023</v>
      </c>
      <c r="K116" t="str">
        <f t="shared" si="3"/>
        <v>46-60</v>
      </c>
    </row>
    <row r="117" spans="1:11" x14ac:dyDescent="0.3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 t="str">
        <f t="shared" si="2"/>
        <v>23/08/2023</v>
      </c>
      <c r="K117" t="str">
        <f t="shared" si="3"/>
        <v>18-25</v>
      </c>
    </row>
    <row r="118" spans="1:11" x14ac:dyDescent="0.3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 t="str">
        <f t="shared" si="2"/>
        <v>15/03/2023</v>
      </c>
      <c r="K118" t="str">
        <f t="shared" si="3"/>
        <v>18-25</v>
      </c>
    </row>
    <row r="119" spans="1:11" x14ac:dyDescent="0.3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 t="str">
        <f t="shared" si="2"/>
        <v>16/05/2023</v>
      </c>
      <c r="K119" t="str">
        <f t="shared" si="3"/>
        <v>26-35</v>
      </c>
    </row>
    <row r="120" spans="1:11" x14ac:dyDescent="0.3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 t="str">
        <f t="shared" si="2"/>
        <v>13/03/2023</v>
      </c>
      <c r="K120" t="str">
        <f t="shared" si="3"/>
        <v>46-60</v>
      </c>
    </row>
    <row r="121" spans="1:11" x14ac:dyDescent="0.3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 t="str">
        <f t="shared" si="2"/>
        <v>07/05/2023</v>
      </c>
      <c r="K121" t="str">
        <f t="shared" si="3"/>
        <v>46-60</v>
      </c>
    </row>
    <row r="122" spans="1:11" x14ac:dyDescent="0.3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 t="str">
        <f t="shared" si="2"/>
        <v>15/10/2023</v>
      </c>
      <c r="K122" t="str">
        <f t="shared" si="3"/>
        <v>26-35</v>
      </c>
    </row>
    <row r="123" spans="1:11" x14ac:dyDescent="0.3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 t="str">
        <f t="shared" si="2"/>
        <v>03/10/2023</v>
      </c>
      <c r="K123" t="str">
        <f t="shared" si="3"/>
        <v>60+</v>
      </c>
    </row>
    <row r="124" spans="1:11" x14ac:dyDescent="0.3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 t="str">
        <f t="shared" si="2"/>
        <v>15/05/2023</v>
      </c>
      <c r="K124" t="str">
        <f t="shared" si="3"/>
        <v>36-45</v>
      </c>
    </row>
    <row r="125" spans="1:11" x14ac:dyDescent="0.3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 t="str">
        <f t="shared" si="2"/>
        <v>27/10/2023</v>
      </c>
      <c r="K125" t="str">
        <f t="shared" si="3"/>
        <v>26-35</v>
      </c>
    </row>
    <row r="126" spans="1:11" x14ac:dyDescent="0.3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 t="str">
        <f t="shared" si="2"/>
        <v>08/08/2023</v>
      </c>
      <c r="K126" t="str">
        <f t="shared" si="3"/>
        <v>46-60</v>
      </c>
    </row>
    <row r="127" spans="1:11" x14ac:dyDescent="0.3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 t="str">
        <f t="shared" si="2"/>
        <v>26/10/2023</v>
      </c>
      <c r="K127" t="str">
        <f t="shared" si="3"/>
        <v>26-35</v>
      </c>
    </row>
    <row r="128" spans="1:11" x14ac:dyDescent="0.3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 t="str">
        <f t="shared" si="2"/>
        <v>24/07/2023</v>
      </c>
      <c r="K128" t="str">
        <f t="shared" si="3"/>
        <v>26-35</v>
      </c>
    </row>
    <row r="129" spans="1:11" x14ac:dyDescent="0.3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 t="str">
        <f t="shared" si="2"/>
        <v>05/07/2023</v>
      </c>
      <c r="K129" t="str">
        <f t="shared" si="3"/>
        <v>18-25</v>
      </c>
    </row>
    <row r="130" spans="1:11" x14ac:dyDescent="0.3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 t="str">
        <f t="shared" si="2"/>
        <v>23/04/2023</v>
      </c>
      <c r="K130" t="str">
        <f t="shared" si="3"/>
        <v>18-25</v>
      </c>
    </row>
    <row r="131" spans="1:11" x14ac:dyDescent="0.3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 t="str">
        <f t="shared" ref="J131:J194" si="4">TEXT(B131,"dd/mm/yyyy")</f>
        <v>12/03/2023</v>
      </c>
      <c r="K131" t="str">
        <f t="shared" ref="K131:K194" si="5">IF(E131&lt;18,"Under 18",IF(E131&lt;=25,"18-25",IF(E131&lt;=35,"26-35",IF(E131&lt;=45,"36-45",IF(E131&lt;=60,"46-60","60+")))))</f>
        <v>46-60</v>
      </c>
    </row>
    <row r="132" spans="1:11" x14ac:dyDescent="0.3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 t="str">
        <f t="shared" si="4"/>
        <v>18/09/2023</v>
      </c>
      <c r="K132" t="str">
        <f t="shared" si="5"/>
        <v>18-25</v>
      </c>
    </row>
    <row r="133" spans="1:11" x14ac:dyDescent="0.3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 t="str">
        <f t="shared" si="4"/>
        <v>10/09/2023</v>
      </c>
      <c r="K133" t="str">
        <f t="shared" si="5"/>
        <v>36-45</v>
      </c>
    </row>
    <row r="134" spans="1:11" x14ac:dyDescent="0.3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 t="str">
        <f t="shared" si="4"/>
        <v>16/02/2023</v>
      </c>
      <c r="K134" t="str">
        <f t="shared" si="5"/>
        <v>18-25</v>
      </c>
    </row>
    <row r="135" spans="1:11" x14ac:dyDescent="0.3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 t="str">
        <f t="shared" si="4"/>
        <v>25/01/2023</v>
      </c>
      <c r="K135" t="str">
        <f t="shared" si="5"/>
        <v>46-60</v>
      </c>
    </row>
    <row r="136" spans="1:11" x14ac:dyDescent="0.3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 t="str">
        <f t="shared" si="4"/>
        <v>26/02/2023</v>
      </c>
      <c r="K136" t="str">
        <f t="shared" si="5"/>
        <v>18-25</v>
      </c>
    </row>
    <row r="137" spans="1:11" x14ac:dyDescent="0.3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 t="str">
        <f t="shared" si="4"/>
        <v>20/03/2023</v>
      </c>
      <c r="K137" t="str">
        <f t="shared" si="5"/>
        <v>36-45</v>
      </c>
    </row>
    <row r="138" spans="1:11" x14ac:dyDescent="0.3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 t="str">
        <f t="shared" si="4"/>
        <v>18/11/2023</v>
      </c>
      <c r="K138" t="str">
        <f t="shared" si="5"/>
        <v>46-60</v>
      </c>
    </row>
    <row r="139" spans="1:11" x14ac:dyDescent="0.3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 t="str">
        <f t="shared" si="4"/>
        <v>23/03/2023</v>
      </c>
      <c r="K139" t="str">
        <f t="shared" si="5"/>
        <v>46-60</v>
      </c>
    </row>
    <row r="140" spans="1:11" x14ac:dyDescent="0.3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 t="str">
        <f t="shared" si="4"/>
        <v>15/12/2023</v>
      </c>
      <c r="K140" t="str">
        <f t="shared" si="5"/>
        <v>36-45</v>
      </c>
    </row>
    <row r="141" spans="1:11" x14ac:dyDescent="0.3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 t="str">
        <f t="shared" si="4"/>
        <v>05/08/2023</v>
      </c>
      <c r="K141" t="str">
        <f t="shared" si="5"/>
        <v>36-45</v>
      </c>
    </row>
    <row r="142" spans="1:11" x14ac:dyDescent="0.3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 t="str">
        <f t="shared" si="4"/>
        <v>02/11/2023</v>
      </c>
      <c r="K142" t="str">
        <f t="shared" si="5"/>
        <v>18-25</v>
      </c>
    </row>
    <row r="143" spans="1:11" x14ac:dyDescent="0.3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 t="str">
        <f t="shared" si="4"/>
        <v>02/02/2023</v>
      </c>
      <c r="K143" t="str">
        <f t="shared" si="5"/>
        <v>26-35</v>
      </c>
    </row>
    <row r="144" spans="1:11" x14ac:dyDescent="0.3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 t="str">
        <f t="shared" si="4"/>
        <v>17/07/2023</v>
      </c>
      <c r="K144" t="str">
        <f t="shared" si="5"/>
        <v>36-45</v>
      </c>
    </row>
    <row r="145" spans="1:11" x14ac:dyDescent="0.3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 t="str">
        <f t="shared" si="4"/>
        <v>15/07/2023</v>
      </c>
      <c r="K145" t="str">
        <f t="shared" si="5"/>
        <v>46-60</v>
      </c>
    </row>
    <row r="146" spans="1:11" x14ac:dyDescent="0.3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 t="str">
        <f t="shared" si="4"/>
        <v>02/11/2023</v>
      </c>
      <c r="K146" t="str">
        <f t="shared" si="5"/>
        <v>36-45</v>
      </c>
    </row>
    <row r="147" spans="1:11" x14ac:dyDescent="0.3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 t="str">
        <f t="shared" si="4"/>
        <v>28/08/2023</v>
      </c>
      <c r="K147" t="str">
        <f t="shared" si="5"/>
        <v>36-45</v>
      </c>
    </row>
    <row r="148" spans="1:11" x14ac:dyDescent="0.3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 t="str">
        <f t="shared" si="4"/>
        <v>28/09/2023</v>
      </c>
      <c r="K148" t="str">
        <f t="shared" si="5"/>
        <v>18-25</v>
      </c>
    </row>
    <row r="149" spans="1:11" x14ac:dyDescent="0.3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 t="str">
        <f t="shared" si="4"/>
        <v>09/05/2023</v>
      </c>
      <c r="K149" t="str">
        <f t="shared" si="5"/>
        <v>18-25</v>
      </c>
    </row>
    <row r="150" spans="1:11" x14ac:dyDescent="0.3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 t="str">
        <f t="shared" si="4"/>
        <v>11/10/2023</v>
      </c>
      <c r="K150" t="str">
        <f t="shared" si="5"/>
        <v>18-25</v>
      </c>
    </row>
    <row r="151" spans="1:11" x14ac:dyDescent="0.3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 t="str">
        <f t="shared" si="4"/>
        <v>06/01/2023</v>
      </c>
      <c r="K151" t="str">
        <f t="shared" si="5"/>
        <v>46-60</v>
      </c>
    </row>
    <row r="152" spans="1:11" x14ac:dyDescent="0.3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 t="str">
        <f t="shared" si="4"/>
        <v>15/12/2023</v>
      </c>
      <c r="K152" t="str">
        <f t="shared" si="5"/>
        <v>26-35</v>
      </c>
    </row>
    <row r="153" spans="1:11" x14ac:dyDescent="0.3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 t="str">
        <f t="shared" si="4"/>
        <v>28/02/2023</v>
      </c>
      <c r="K153" t="str">
        <f t="shared" si="5"/>
        <v>36-45</v>
      </c>
    </row>
    <row r="154" spans="1:11" x14ac:dyDescent="0.3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 t="str">
        <f t="shared" si="4"/>
        <v>16/12/2023</v>
      </c>
      <c r="K154" t="str">
        <f t="shared" si="5"/>
        <v>60+</v>
      </c>
    </row>
    <row r="155" spans="1:11" x14ac:dyDescent="0.3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 t="str">
        <f t="shared" si="4"/>
        <v>02/10/2023</v>
      </c>
      <c r="K155" t="str">
        <f t="shared" si="5"/>
        <v>46-60</v>
      </c>
    </row>
    <row r="156" spans="1:11" x14ac:dyDescent="0.3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 t="str">
        <f t="shared" si="4"/>
        <v>17/05/2023</v>
      </c>
      <c r="K156" t="str">
        <f t="shared" si="5"/>
        <v>26-35</v>
      </c>
    </row>
    <row r="157" spans="1:11" x14ac:dyDescent="0.3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 t="str">
        <f t="shared" si="4"/>
        <v>25/11/2023</v>
      </c>
      <c r="K157" t="str">
        <f t="shared" si="5"/>
        <v>36-45</v>
      </c>
    </row>
    <row r="158" spans="1:11" x14ac:dyDescent="0.3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 t="str">
        <f t="shared" si="4"/>
        <v>24/06/2023</v>
      </c>
      <c r="K158" t="str">
        <f t="shared" si="5"/>
        <v>60+</v>
      </c>
    </row>
    <row r="159" spans="1:11" x14ac:dyDescent="0.3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 t="str">
        <f t="shared" si="4"/>
        <v>27/02/2023</v>
      </c>
      <c r="K159" t="str">
        <f t="shared" si="5"/>
        <v>36-45</v>
      </c>
    </row>
    <row r="160" spans="1:11" x14ac:dyDescent="0.3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 t="str">
        <f t="shared" si="4"/>
        <v>31/05/2023</v>
      </c>
      <c r="K160" t="str">
        <f t="shared" si="5"/>
        <v>26-35</v>
      </c>
    </row>
    <row r="161" spans="1:11" x14ac:dyDescent="0.3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 t="str">
        <f t="shared" si="4"/>
        <v>11/08/2023</v>
      </c>
      <c r="K161" t="str">
        <f t="shared" si="5"/>
        <v>36-45</v>
      </c>
    </row>
    <row r="162" spans="1:11" x14ac:dyDescent="0.3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 t="str">
        <f t="shared" si="4"/>
        <v>22/03/2023</v>
      </c>
      <c r="K162" t="str">
        <f t="shared" si="5"/>
        <v>60+</v>
      </c>
    </row>
    <row r="163" spans="1:11" x14ac:dyDescent="0.3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 t="str">
        <f t="shared" si="4"/>
        <v>21/08/2023</v>
      </c>
      <c r="K163" t="str">
        <f t="shared" si="5"/>
        <v>36-45</v>
      </c>
    </row>
    <row r="164" spans="1:11" x14ac:dyDescent="0.3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 t="str">
        <f t="shared" si="4"/>
        <v>02/01/2023</v>
      </c>
      <c r="K164" t="str">
        <f t="shared" si="5"/>
        <v>60+</v>
      </c>
    </row>
    <row r="165" spans="1:11" x14ac:dyDescent="0.3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 t="str">
        <f t="shared" si="4"/>
        <v>15/05/2023</v>
      </c>
      <c r="K165" t="str">
        <f t="shared" si="5"/>
        <v>46-60</v>
      </c>
    </row>
    <row r="166" spans="1:11" x14ac:dyDescent="0.3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 t="str">
        <f t="shared" si="4"/>
        <v>14/09/2023</v>
      </c>
      <c r="K166" t="str">
        <f t="shared" si="5"/>
        <v>46-60</v>
      </c>
    </row>
    <row r="167" spans="1:11" x14ac:dyDescent="0.3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 t="str">
        <f t="shared" si="4"/>
        <v>02/04/2023</v>
      </c>
      <c r="K167" t="str">
        <f t="shared" si="5"/>
        <v>26-35</v>
      </c>
    </row>
    <row r="168" spans="1:11" x14ac:dyDescent="0.3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 t="str">
        <f t="shared" si="4"/>
        <v>17/09/2023</v>
      </c>
      <c r="K168" t="str">
        <f t="shared" si="5"/>
        <v>36-45</v>
      </c>
    </row>
    <row r="169" spans="1:11" x14ac:dyDescent="0.3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 t="str">
        <f t="shared" si="4"/>
        <v>24/02/2023</v>
      </c>
      <c r="K169" t="str">
        <f t="shared" si="5"/>
        <v>46-60</v>
      </c>
    </row>
    <row r="170" spans="1:11" x14ac:dyDescent="0.3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 t="str">
        <f t="shared" si="4"/>
        <v>17/11/2023</v>
      </c>
      <c r="K170" t="str">
        <f t="shared" si="5"/>
        <v>18-25</v>
      </c>
    </row>
    <row r="171" spans="1:11" x14ac:dyDescent="0.3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 t="str">
        <f t="shared" si="4"/>
        <v>02/06/2023</v>
      </c>
      <c r="K171" t="str">
        <f t="shared" si="5"/>
        <v>18-25</v>
      </c>
    </row>
    <row r="172" spans="1:11" x14ac:dyDescent="0.3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 t="str">
        <f t="shared" si="4"/>
        <v>24/11/2023</v>
      </c>
      <c r="K172" t="str">
        <f t="shared" si="5"/>
        <v>46-60</v>
      </c>
    </row>
    <row r="173" spans="1:11" x14ac:dyDescent="0.3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 t="str">
        <f t="shared" si="4"/>
        <v>17/09/2023</v>
      </c>
      <c r="K173" t="str">
        <f t="shared" si="5"/>
        <v>26-35</v>
      </c>
    </row>
    <row r="174" spans="1:11" x14ac:dyDescent="0.3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 t="str">
        <f t="shared" si="4"/>
        <v>08/11/2023</v>
      </c>
      <c r="K174" t="str">
        <f t="shared" si="5"/>
        <v>60+</v>
      </c>
    </row>
    <row r="175" spans="1:11" x14ac:dyDescent="0.3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 t="str">
        <f t="shared" si="4"/>
        <v>12/04/2023</v>
      </c>
      <c r="K175" t="str">
        <f t="shared" si="5"/>
        <v>36-45</v>
      </c>
    </row>
    <row r="176" spans="1:11" x14ac:dyDescent="0.3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 t="str">
        <f t="shared" si="4"/>
        <v>20/03/2023</v>
      </c>
      <c r="K176" t="str">
        <f t="shared" si="5"/>
        <v>26-35</v>
      </c>
    </row>
    <row r="177" spans="1:11" x14ac:dyDescent="0.3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 t="str">
        <f t="shared" si="4"/>
        <v>11/07/2023</v>
      </c>
      <c r="K177" t="str">
        <f t="shared" si="5"/>
        <v>36-45</v>
      </c>
    </row>
    <row r="178" spans="1:11" x14ac:dyDescent="0.3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 t="str">
        <f t="shared" si="4"/>
        <v>24/03/2023</v>
      </c>
      <c r="K178" t="str">
        <f t="shared" si="5"/>
        <v>36-45</v>
      </c>
    </row>
    <row r="179" spans="1:11" x14ac:dyDescent="0.3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 t="str">
        <f t="shared" si="4"/>
        <v>04/10/2023</v>
      </c>
      <c r="K179" t="str">
        <f t="shared" si="5"/>
        <v>36-45</v>
      </c>
    </row>
    <row r="180" spans="1:11" x14ac:dyDescent="0.3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 t="str">
        <f t="shared" si="4"/>
        <v>29/09/2023</v>
      </c>
      <c r="K180" t="str">
        <f t="shared" si="5"/>
        <v>26-35</v>
      </c>
    </row>
    <row r="181" spans="1:11" x14ac:dyDescent="0.3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 t="str">
        <f t="shared" si="4"/>
        <v>01/01/2023</v>
      </c>
      <c r="K181" t="str">
        <f t="shared" si="5"/>
        <v>36-45</v>
      </c>
    </row>
    <row r="182" spans="1:11" x14ac:dyDescent="0.3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 t="str">
        <f t="shared" si="4"/>
        <v>03/11/2023</v>
      </c>
      <c r="K182" t="str">
        <f t="shared" si="5"/>
        <v>18-25</v>
      </c>
    </row>
    <row r="183" spans="1:11" x14ac:dyDescent="0.3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 t="str">
        <f t="shared" si="4"/>
        <v>15/06/2023</v>
      </c>
      <c r="K183" t="str">
        <f t="shared" si="5"/>
        <v>60+</v>
      </c>
    </row>
    <row r="184" spans="1:11" x14ac:dyDescent="0.3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 t="str">
        <f t="shared" si="4"/>
        <v>08/09/2023</v>
      </c>
      <c r="K184" t="str">
        <f t="shared" si="5"/>
        <v>36-45</v>
      </c>
    </row>
    <row r="185" spans="1:11" x14ac:dyDescent="0.3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 t="str">
        <f t="shared" si="4"/>
        <v>10/01/2023</v>
      </c>
      <c r="K185" t="str">
        <f t="shared" si="5"/>
        <v>26-35</v>
      </c>
    </row>
    <row r="186" spans="1:11" x14ac:dyDescent="0.3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 t="str">
        <f t="shared" si="4"/>
        <v>27/02/2023</v>
      </c>
      <c r="K186" t="str">
        <f t="shared" si="5"/>
        <v>18-25</v>
      </c>
    </row>
    <row r="187" spans="1:11" x14ac:dyDescent="0.3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 t="str">
        <f t="shared" si="4"/>
        <v>05/07/2023</v>
      </c>
      <c r="K187" t="str">
        <f t="shared" si="5"/>
        <v>18-25</v>
      </c>
    </row>
    <row r="188" spans="1:11" x14ac:dyDescent="0.3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 t="str">
        <f t="shared" si="4"/>
        <v>07/06/2023</v>
      </c>
      <c r="K188" t="str">
        <f t="shared" si="5"/>
        <v>60+</v>
      </c>
    </row>
    <row r="189" spans="1:11" x14ac:dyDescent="0.3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 t="str">
        <f t="shared" si="4"/>
        <v>03/05/2023</v>
      </c>
      <c r="K189" t="str">
        <f t="shared" si="5"/>
        <v>36-45</v>
      </c>
    </row>
    <row r="190" spans="1:11" x14ac:dyDescent="0.3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 t="str">
        <f t="shared" si="4"/>
        <v>30/01/2023</v>
      </c>
      <c r="K190" t="str">
        <f t="shared" si="5"/>
        <v>60+</v>
      </c>
    </row>
    <row r="191" spans="1:11" x14ac:dyDescent="0.3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 t="str">
        <f t="shared" si="4"/>
        <v>04/05/2023</v>
      </c>
      <c r="K191" t="str">
        <f t="shared" si="5"/>
        <v>46-60</v>
      </c>
    </row>
    <row r="192" spans="1:11" x14ac:dyDescent="0.3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 t="str">
        <f t="shared" si="4"/>
        <v>18/10/2023</v>
      </c>
      <c r="K192" t="str">
        <f t="shared" si="5"/>
        <v>60+</v>
      </c>
    </row>
    <row r="193" spans="1:11" x14ac:dyDescent="0.3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 t="str">
        <f t="shared" si="4"/>
        <v>10/02/2023</v>
      </c>
      <c r="K193" t="str">
        <f t="shared" si="5"/>
        <v>60+</v>
      </c>
    </row>
    <row r="194" spans="1:11" x14ac:dyDescent="0.3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 t="str">
        <f t="shared" si="4"/>
        <v>13/02/2023</v>
      </c>
      <c r="K194" t="str">
        <f t="shared" si="5"/>
        <v>26-35</v>
      </c>
    </row>
    <row r="195" spans="1:11" x14ac:dyDescent="0.3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 t="str">
        <f t="shared" ref="J195:J258" si="6">TEXT(B195,"dd/mm/yyyy")</f>
        <v>06/09/2023</v>
      </c>
      <c r="K195" t="str">
        <f t="shared" ref="K195:K258" si="7">IF(E195&lt;18,"Under 18",IF(E195&lt;=25,"18-25",IF(E195&lt;=35,"26-35",IF(E195&lt;=45,"36-45",IF(E195&lt;=60,"46-60","60+")))))</f>
        <v>46-60</v>
      </c>
    </row>
    <row r="196" spans="1:11" x14ac:dyDescent="0.3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 t="str">
        <f t="shared" si="6"/>
        <v>05/02/2023</v>
      </c>
      <c r="K196" t="str">
        <f t="shared" si="7"/>
        <v>46-60</v>
      </c>
    </row>
    <row r="197" spans="1:11" x14ac:dyDescent="0.3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 t="str">
        <f t="shared" si="6"/>
        <v>30/09/2023</v>
      </c>
      <c r="K197" t="str">
        <f t="shared" si="7"/>
        <v>26-35</v>
      </c>
    </row>
    <row r="198" spans="1:11" x14ac:dyDescent="0.3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 t="str">
        <f t="shared" si="6"/>
        <v>06/03/2023</v>
      </c>
      <c r="K198" t="str">
        <f t="shared" si="7"/>
        <v>36-45</v>
      </c>
    </row>
    <row r="199" spans="1:11" x14ac:dyDescent="0.3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 t="str">
        <f t="shared" si="6"/>
        <v>07/03/2023</v>
      </c>
      <c r="K199" t="str">
        <f t="shared" si="7"/>
        <v>46-60</v>
      </c>
    </row>
    <row r="200" spans="1:11" x14ac:dyDescent="0.3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 t="str">
        <f t="shared" si="6"/>
        <v>04/12/2023</v>
      </c>
      <c r="K200" t="str">
        <f t="shared" si="7"/>
        <v>36-45</v>
      </c>
    </row>
    <row r="201" spans="1:11" x14ac:dyDescent="0.3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 t="str">
        <f t="shared" si="6"/>
        <v>01/09/2023</v>
      </c>
      <c r="K201" t="str">
        <f t="shared" si="7"/>
        <v>26-35</v>
      </c>
    </row>
    <row r="202" spans="1:11" x14ac:dyDescent="0.3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 t="str">
        <f t="shared" si="6"/>
        <v>09/10/2023</v>
      </c>
      <c r="K202" t="str">
        <f t="shared" si="7"/>
        <v>46-60</v>
      </c>
    </row>
    <row r="203" spans="1:11" x14ac:dyDescent="0.3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 t="str">
        <f t="shared" si="6"/>
        <v>26/03/2023</v>
      </c>
      <c r="K203" t="str">
        <f t="shared" si="7"/>
        <v>26-35</v>
      </c>
    </row>
    <row r="204" spans="1:11" x14ac:dyDescent="0.3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 t="str">
        <f t="shared" si="6"/>
        <v>16/05/2023</v>
      </c>
      <c r="K204" t="str">
        <f t="shared" si="7"/>
        <v>46-60</v>
      </c>
    </row>
    <row r="205" spans="1:11" x14ac:dyDescent="0.3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 t="str">
        <f t="shared" si="6"/>
        <v>28/09/2023</v>
      </c>
      <c r="K205" t="str">
        <f t="shared" si="7"/>
        <v>36-45</v>
      </c>
    </row>
    <row r="206" spans="1:11" x14ac:dyDescent="0.3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 t="str">
        <f t="shared" si="6"/>
        <v>07/11/2023</v>
      </c>
      <c r="K206" t="str">
        <f t="shared" si="7"/>
        <v>36-45</v>
      </c>
    </row>
    <row r="207" spans="1:11" x14ac:dyDescent="0.3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 t="str">
        <f t="shared" si="6"/>
        <v>05/08/2023</v>
      </c>
      <c r="K207" t="str">
        <f t="shared" si="7"/>
        <v>60+</v>
      </c>
    </row>
    <row r="208" spans="1:11" x14ac:dyDescent="0.3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 t="str">
        <f t="shared" si="6"/>
        <v>19/04/2023</v>
      </c>
      <c r="K208" t="str">
        <f t="shared" si="7"/>
        <v>36-45</v>
      </c>
    </row>
    <row r="209" spans="1:11" x14ac:dyDescent="0.3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 t="str">
        <f t="shared" si="6"/>
        <v>04/10/2023</v>
      </c>
      <c r="K209" t="str">
        <f t="shared" si="7"/>
        <v>26-35</v>
      </c>
    </row>
    <row r="210" spans="1:11" x14ac:dyDescent="0.3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 t="str">
        <f t="shared" si="6"/>
        <v>20/12/2023</v>
      </c>
      <c r="K210" t="str">
        <f t="shared" si="7"/>
        <v>26-35</v>
      </c>
    </row>
    <row r="211" spans="1:11" x14ac:dyDescent="0.3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 t="str">
        <f t="shared" si="6"/>
        <v>13/04/2023</v>
      </c>
      <c r="K211" t="str">
        <f t="shared" si="7"/>
        <v>36-45</v>
      </c>
    </row>
    <row r="212" spans="1:11" x14ac:dyDescent="0.3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 t="str">
        <f t="shared" si="6"/>
        <v>01/01/2024</v>
      </c>
      <c r="K212" t="str">
        <f t="shared" si="7"/>
        <v>36-45</v>
      </c>
    </row>
    <row r="213" spans="1:11" x14ac:dyDescent="0.3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 t="str">
        <f t="shared" si="6"/>
        <v>09/06/2023</v>
      </c>
      <c r="K213" t="str">
        <f t="shared" si="7"/>
        <v>18-25</v>
      </c>
    </row>
    <row r="214" spans="1:11" x14ac:dyDescent="0.3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 t="str">
        <f t="shared" si="6"/>
        <v>24/07/2023</v>
      </c>
      <c r="K214" t="str">
        <f t="shared" si="7"/>
        <v>26-35</v>
      </c>
    </row>
    <row r="215" spans="1:11" x14ac:dyDescent="0.3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 t="str">
        <f t="shared" si="6"/>
        <v>10/12/2023</v>
      </c>
      <c r="K215" t="str">
        <f t="shared" si="7"/>
        <v>18-25</v>
      </c>
    </row>
    <row r="216" spans="1:11" x14ac:dyDescent="0.3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 t="str">
        <f t="shared" si="6"/>
        <v>29/11/2023</v>
      </c>
      <c r="K216" t="str">
        <f t="shared" si="7"/>
        <v>46-60</v>
      </c>
    </row>
    <row r="217" spans="1:11" x14ac:dyDescent="0.3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 t="str">
        <f t="shared" si="6"/>
        <v>11/07/2023</v>
      </c>
      <c r="K217" t="str">
        <f t="shared" si="7"/>
        <v>60+</v>
      </c>
    </row>
    <row r="218" spans="1:11" x14ac:dyDescent="0.3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 t="str">
        <f t="shared" si="6"/>
        <v>13/08/2023</v>
      </c>
      <c r="K218" t="str">
        <f t="shared" si="7"/>
        <v>26-35</v>
      </c>
    </row>
    <row r="219" spans="1:11" x14ac:dyDescent="0.3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 t="str">
        <f t="shared" si="6"/>
        <v>22/09/2023</v>
      </c>
      <c r="K219" t="str">
        <f t="shared" si="7"/>
        <v>60+</v>
      </c>
    </row>
    <row r="220" spans="1:11" x14ac:dyDescent="0.3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 t="str">
        <f t="shared" si="6"/>
        <v>20/08/2023</v>
      </c>
      <c r="K220" t="str">
        <f t="shared" si="7"/>
        <v>46-60</v>
      </c>
    </row>
    <row r="221" spans="1:11" x14ac:dyDescent="0.3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 t="str">
        <f t="shared" si="6"/>
        <v>03/03/2023</v>
      </c>
      <c r="K221" t="str">
        <f t="shared" si="7"/>
        <v>60+</v>
      </c>
    </row>
    <row r="222" spans="1:11" x14ac:dyDescent="0.3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 t="str">
        <f t="shared" si="6"/>
        <v>07/05/2023</v>
      </c>
      <c r="K222" t="str">
        <f t="shared" si="7"/>
        <v>36-45</v>
      </c>
    </row>
    <row r="223" spans="1:11" x14ac:dyDescent="0.3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 t="str">
        <f t="shared" si="6"/>
        <v>26/04/2023</v>
      </c>
      <c r="K223" t="str">
        <f t="shared" si="7"/>
        <v>46-60</v>
      </c>
    </row>
    <row r="224" spans="1:11" x14ac:dyDescent="0.3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 t="str">
        <f t="shared" si="6"/>
        <v>02/02/2023</v>
      </c>
      <c r="K224" t="str">
        <f t="shared" si="7"/>
        <v>60+</v>
      </c>
    </row>
    <row r="225" spans="1:11" x14ac:dyDescent="0.3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 t="str">
        <f t="shared" si="6"/>
        <v>23/06/2023</v>
      </c>
      <c r="K225" t="str">
        <f t="shared" si="7"/>
        <v>18-25</v>
      </c>
    </row>
    <row r="226" spans="1:11" x14ac:dyDescent="0.3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 t="str">
        <f t="shared" si="6"/>
        <v>11/01/2023</v>
      </c>
      <c r="K226" t="str">
        <f t="shared" si="7"/>
        <v>46-60</v>
      </c>
    </row>
    <row r="227" spans="1:11" x14ac:dyDescent="0.3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 t="str">
        <f t="shared" si="6"/>
        <v>29/10/2023</v>
      </c>
      <c r="K227" t="str">
        <f t="shared" si="7"/>
        <v>60+</v>
      </c>
    </row>
    <row r="228" spans="1:11" x14ac:dyDescent="0.3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 t="str">
        <f t="shared" si="6"/>
        <v>11/10/2023</v>
      </c>
      <c r="K228" t="str">
        <f t="shared" si="7"/>
        <v>36-45</v>
      </c>
    </row>
    <row r="229" spans="1:11" x14ac:dyDescent="0.3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 t="str">
        <f t="shared" si="6"/>
        <v>28/04/2023</v>
      </c>
      <c r="K229" t="str">
        <f t="shared" si="7"/>
        <v>46-60</v>
      </c>
    </row>
    <row r="230" spans="1:11" x14ac:dyDescent="0.3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 t="str">
        <f t="shared" si="6"/>
        <v>29/10/2023</v>
      </c>
      <c r="K230" t="str">
        <f t="shared" si="7"/>
        <v>46-60</v>
      </c>
    </row>
    <row r="231" spans="1:11" x14ac:dyDescent="0.3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 t="str">
        <f t="shared" si="6"/>
        <v>23/04/2023</v>
      </c>
      <c r="K231" t="str">
        <f t="shared" si="7"/>
        <v>46-60</v>
      </c>
    </row>
    <row r="232" spans="1:11" x14ac:dyDescent="0.3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 t="str">
        <f t="shared" si="6"/>
        <v>04/01/2023</v>
      </c>
      <c r="K232" t="str">
        <f t="shared" si="7"/>
        <v>18-25</v>
      </c>
    </row>
    <row r="233" spans="1:11" x14ac:dyDescent="0.3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 t="str">
        <f t="shared" si="6"/>
        <v>06/02/2023</v>
      </c>
      <c r="K233" t="str">
        <f t="shared" si="7"/>
        <v>36-45</v>
      </c>
    </row>
    <row r="234" spans="1:11" x14ac:dyDescent="0.3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 t="str">
        <f t="shared" si="6"/>
        <v>29/12/2023</v>
      </c>
      <c r="K234" t="str">
        <f t="shared" si="7"/>
        <v>46-60</v>
      </c>
    </row>
    <row r="235" spans="1:11" x14ac:dyDescent="0.3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 t="str">
        <f t="shared" si="6"/>
        <v>20/11/2023</v>
      </c>
      <c r="K235" t="str">
        <f t="shared" si="7"/>
        <v>60+</v>
      </c>
    </row>
    <row r="236" spans="1:11" x14ac:dyDescent="0.3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 t="str">
        <f t="shared" si="6"/>
        <v>31/01/2023</v>
      </c>
      <c r="K236" t="str">
        <f t="shared" si="7"/>
        <v>18-25</v>
      </c>
    </row>
    <row r="237" spans="1:11" x14ac:dyDescent="0.3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 t="str">
        <f t="shared" si="6"/>
        <v>28/04/2023</v>
      </c>
      <c r="K237" t="str">
        <f t="shared" si="7"/>
        <v>46-60</v>
      </c>
    </row>
    <row r="238" spans="1:11" x14ac:dyDescent="0.3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 t="str">
        <f t="shared" si="6"/>
        <v>04/02/2023</v>
      </c>
      <c r="K238" t="str">
        <f t="shared" si="7"/>
        <v>46-60</v>
      </c>
    </row>
    <row r="239" spans="1:11" x14ac:dyDescent="0.3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 t="str">
        <f t="shared" si="6"/>
        <v>17/01/2023</v>
      </c>
      <c r="K239" t="str">
        <f t="shared" si="7"/>
        <v>36-45</v>
      </c>
    </row>
    <row r="240" spans="1:11" x14ac:dyDescent="0.3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 t="str">
        <f t="shared" si="6"/>
        <v>19/06/2023</v>
      </c>
      <c r="K240" t="str">
        <f t="shared" si="7"/>
        <v>36-45</v>
      </c>
    </row>
    <row r="241" spans="1:11" x14ac:dyDescent="0.3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 t="str">
        <f t="shared" si="6"/>
        <v>06/02/2023</v>
      </c>
      <c r="K241" t="str">
        <f t="shared" si="7"/>
        <v>18-25</v>
      </c>
    </row>
    <row r="242" spans="1:11" x14ac:dyDescent="0.3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 t="str">
        <f t="shared" si="6"/>
        <v>21/09/2023</v>
      </c>
      <c r="K242" t="str">
        <f t="shared" si="7"/>
        <v>18-25</v>
      </c>
    </row>
    <row r="243" spans="1:11" x14ac:dyDescent="0.3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 t="str">
        <f t="shared" si="6"/>
        <v>02/05/2023</v>
      </c>
      <c r="K243" t="str">
        <f t="shared" si="7"/>
        <v>18-25</v>
      </c>
    </row>
    <row r="244" spans="1:11" x14ac:dyDescent="0.3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 t="str">
        <f t="shared" si="6"/>
        <v>23/05/2023</v>
      </c>
      <c r="K244" t="str">
        <f t="shared" si="7"/>
        <v>46-60</v>
      </c>
    </row>
    <row r="245" spans="1:11" x14ac:dyDescent="0.3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 t="str">
        <f t="shared" si="6"/>
        <v>09/12/2023</v>
      </c>
      <c r="K245" t="str">
        <f t="shared" si="7"/>
        <v>26-35</v>
      </c>
    </row>
    <row r="246" spans="1:11" x14ac:dyDescent="0.3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 t="str">
        <f t="shared" si="6"/>
        <v>06/09/2023</v>
      </c>
      <c r="K246" t="str">
        <f t="shared" si="7"/>
        <v>46-60</v>
      </c>
    </row>
    <row r="247" spans="1:11" x14ac:dyDescent="0.3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 t="str">
        <f t="shared" si="6"/>
        <v>20/04/2023</v>
      </c>
      <c r="K247" t="str">
        <f t="shared" si="7"/>
        <v>46-60</v>
      </c>
    </row>
    <row r="248" spans="1:11" x14ac:dyDescent="0.3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 t="str">
        <f t="shared" si="6"/>
        <v>04/10/2023</v>
      </c>
      <c r="K248" t="str">
        <f t="shared" si="7"/>
        <v>36-45</v>
      </c>
    </row>
    <row r="249" spans="1:11" x14ac:dyDescent="0.3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 t="str">
        <f t="shared" si="6"/>
        <v>09/03/2023</v>
      </c>
      <c r="K249" t="str">
        <f t="shared" si="7"/>
        <v>26-35</v>
      </c>
    </row>
    <row r="250" spans="1:11" x14ac:dyDescent="0.3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 t="str">
        <f t="shared" si="6"/>
        <v>20/10/2023</v>
      </c>
      <c r="K250" t="str">
        <f t="shared" si="7"/>
        <v>18-25</v>
      </c>
    </row>
    <row r="251" spans="1:11" x14ac:dyDescent="0.3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 t="str">
        <f t="shared" si="6"/>
        <v>23/10/2023</v>
      </c>
      <c r="K251" t="str">
        <f t="shared" si="7"/>
        <v>46-60</v>
      </c>
    </row>
    <row r="252" spans="1:11" x14ac:dyDescent="0.3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 t="str">
        <f t="shared" si="6"/>
        <v>31/08/2023</v>
      </c>
      <c r="K252" t="str">
        <f t="shared" si="7"/>
        <v>46-60</v>
      </c>
    </row>
    <row r="253" spans="1:11" x14ac:dyDescent="0.3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 t="str">
        <f t="shared" si="6"/>
        <v>05/05/2023</v>
      </c>
      <c r="K253" t="str">
        <f t="shared" si="7"/>
        <v>46-60</v>
      </c>
    </row>
    <row r="254" spans="1:11" x14ac:dyDescent="0.3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 t="str">
        <f t="shared" si="6"/>
        <v>31/08/2023</v>
      </c>
      <c r="K254" t="str">
        <f t="shared" si="7"/>
        <v>46-60</v>
      </c>
    </row>
    <row r="255" spans="1:11" x14ac:dyDescent="0.3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 t="str">
        <f t="shared" si="6"/>
        <v>28/07/2023</v>
      </c>
      <c r="K255" t="str">
        <f t="shared" si="7"/>
        <v>36-45</v>
      </c>
    </row>
    <row r="256" spans="1:11" x14ac:dyDescent="0.3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 t="str">
        <f t="shared" si="6"/>
        <v>08/04/2023</v>
      </c>
      <c r="K256" t="str">
        <f t="shared" si="7"/>
        <v>46-60</v>
      </c>
    </row>
    <row r="257" spans="1:11" x14ac:dyDescent="0.3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 t="str">
        <f t="shared" si="6"/>
        <v>18/02/2023</v>
      </c>
      <c r="K257" t="str">
        <f t="shared" si="7"/>
        <v>18-25</v>
      </c>
    </row>
    <row r="258" spans="1:11" x14ac:dyDescent="0.3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 t="str">
        <f t="shared" si="6"/>
        <v>19/02/2023</v>
      </c>
      <c r="K258" t="str">
        <f t="shared" si="7"/>
        <v>18-25</v>
      </c>
    </row>
    <row r="259" spans="1:11" x14ac:dyDescent="0.3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 t="str">
        <f t="shared" ref="J259:J322" si="8">TEXT(B259,"dd/mm/yyyy")</f>
        <v>04/12/2023</v>
      </c>
      <c r="K259" t="str">
        <f t="shared" ref="K259:K322" si="9">IF(E259&lt;18,"Under 18",IF(E259&lt;=25,"18-25",IF(E259&lt;=35,"26-35",IF(E259&lt;=45,"36-45",IF(E259&lt;=60,"46-60","60+")))))</f>
        <v>36-45</v>
      </c>
    </row>
    <row r="260" spans="1:11" x14ac:dyDescent="0.3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 t="str">
        <f t="shared" si="8"/>
        <v>09/08/2023</v>
      </c>
      <c r="K260" t="str">
        <f t="shared" si="9"/>
        <v>36-45</v>
      </c>
    </row>
    <row r="261" spans="1:11" x14ac:dyDescent="0.3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 t="str">
        <f t="shared" si="8"/>
        <v>01/07/2023</v>
      </c>
      <c r="K261" t="str">
        <f t="shared" si="9"/>
        <v>26-35</v>
      </c>
    </row>
    <row r="262" spans="1:11" x14ac:dyDescent="0.3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 t="str">
        <f t="shared" si="8"/>
        <v>05/08/2023</v>
      </c>
      <c r="K262" t="str">
        <f t="shared" si="9"/>
        <v>18-25</v>
      </c>
    </row>
    <row r="263" spans="1:11" x14ac:dyDescent="0.3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 t="str">
        <f t="shared" si="8"/>
        <v>30/07/2023</v>
      </c>
      <c r="K263" t="str">
        <f t="shared" si="9"/>
        <v>26-35</v>
      </c>
    </row>
    <row r="264" spans="1:11" x14ac:dyDescent="0.3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 t="str">
        <f t="shared" si="8"/>
        <v>28/08/2023</v>
      </c>
      <c r="K264" t="str">
        <f t="shared" si="9"/>
        <v>18-25</v>
      </c>
    </row>
    <row r="265" spans="1:11" x14ac:dyDescent="0.3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 t="str">
        <f t="shared" si="8"/>
        <v>28/01/2023</v>
      </c>
      <c r="K265" t="str">
        <f t="shared" si="9"/>
        <v>46-60</v>
      </c>
    </row>
    <row r="266" spans="1:11" x14ac:dyDescent="0.3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 t="str">
        <f t="shared" si="8"/>
        <v>11/12/2023</v>
      </c>
      <c r="K266" t="str">
        <f t="shared" si="9"/>
        <v>46-60</v>
      </c>
    </row>
    <row r="267" spans="1:11" x14ac:dyDescent="0.3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 t="str">
        <f t="shared" si="8"/>
        <v>01/12/2023</v>
      </c>
      <c r="K267" t="str">
        <f t="shared" si="9"/>
        <v>18-25</v>
      </c>
    </row>
    <row r="268" spans="1:11" x14ac:dyDescent="0.3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 t="str">
        <f t="shared" si="8"/>
        <v>27/11/2023</v>
      </c>
      <c r="K268" t="str">
        <f t="shared" si="9"/>
        <v>26-35</v>
      </c>
    </row>
    <row r="269" spans="1:11" x14ac:dyDescent="0.3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 t="str">
        <f t="shared" si="8"/>
        <v>20/02/2023</v>
      </c>
      <c r="K269" t="str">
        <f t="shared" si="9"/>
        <v>26-35</v>
      </c>
    </row>
    <row r="270" spans="1:11" x14ac:dyDescent="0.3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 t="str">
        <f t="shared" si="8"/>
        <v>01/02/2023</v>
      </c>
      <c r="K270" t="str">
        <f t="shared" si="9"/>
        <v>18-25</v>
      </c>
    </row>
    <row r="271" spans="1:11" x14ac:dyDescent="0.3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 t="str">
        <f t="shared" si="8"/>
        <v>26/07/2023</v>
      </c>
      <c r="K271" t="str">
        <f t="shared" si="9"/>
        <v>36-45</v>
      </c>
    </row>
    <row r="272" spans="1:11" x14ac:dyDescent="0.3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 t="str">
        <f t="shared" si="8"/>
        <v>23/06/2023</v>
      </c>
      <c r="K272" t="str">
        <f t="shared" si="9"/>
        <v>60+</v>
      </c>
    </row>
    <row r="273" spans="1:11" x14ac:dyDescent="0.3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 t="str">
        <f t="shared" si="8"/>
        <v>25/02/2023</v>
      </c>
      <c r="K273" t="str">
        <f t="shared" si="9"/>
        <v>60+</v>
      </c>
    </row>
    <row r="274" spans="1:11" x14ac:dyDescent="0.3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 t="str">
        <f t="shared" si="8"/>
        <v>08/05/2023</v>
      </c>
      <c r="K274" t="str">
        <f t="shared" si="9"/>
        <v>18-25</v>
      </c>
    </row>
    <row r="275" spans="1:11" x14ac:dyDescent="0.3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 t="str">
        <f t="shared" si="8"/>
        <v>09/04/2023</v>
      </c>
      <c r="K275" t="str">
        <f t="shared" si="9"/>
        <v>18-25</v>
      </c>
    </row>
    <row r="276" spans="1:11" x14ac:dyDescent="0.3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 t="str">
        <f t="shared" si="8"/>
        <v>08/04/2023</v>
      </c>
      <c r="K276" t="str">
        <f t="shared" si="9"/>
        <v>36-45</v>
      </c>
    </row>
    <row r="277" spans="1:11" x14ac:dyDescent="0.3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 t="str">
        <f t="shared" si="8"/>
        <v>02/10/2023</v>
      </c>
      <c r="K277" t="str">
        <f t="shared" si="9"/>
        <v>18-25</v>
      </c>
    </row>
    <row r="278" spans="1:11" x14ac:dyDescent="0.3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 t="str">
        <f t="shared" si="8"/>
        <v>18/08/2023</v>
      </c>
      <c r="K278" t="str">
        <f t="shared" si="9"/>
        <v>36-45</v>
      </c>
    </row>
    <row r="279" spans="1:11" x14ac:dyDescent="0.3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 t="str">
        <f t="shared" si="8"/>
        <v>13/03/2023</v>
      </c>
      <c r="K279" t="str">
        <f t="shared" si="9"/>
        <v>36-45</v>
      </c>
    </row>
    <row r="280" spans="1:11" x14ac:dyDescent="0.3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 t="str">
        <f t="shared" si="8"/>
        <v>05/08/2023</v>
      </c>
      <c r="K280" t="str">
        <f t="shared" si="9"/>
        <v>46-60</v>
      </c>
    </row>
    <row r="281" spans="1:11" x14ac:dyDescent="0.3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 t="str">
        <f t="shared" si="8"/>
        <v>04/04/2023</v>
      </c>
      <c r="K281" t="str">
        <f t="shared" si="9"/>
        <v>36-45</v>
      </c>
    </row>
    <row r="282" spans="1:11" x14ac:dyDescent="0.3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 t="str">
        <f t="shared" si="8"/>
        <v>23/05/2023</v>
      </c>
      <c r="K282" t="str">
        <f t="shared" si="9"/>
        <v>26-35</v>
      </c>
    </row>
    <row r="283" spans="1:11" x14ac:dyDescent="0.3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 t="str">
        <f t="shared" si="8"/>
        <v>25/08/2023</v>
      </c>
      <c r="K283" t="str">
        <f t="shared" si="9"/>
        <v>60+</v>
      </c>
    </row>
    <row r="284" spans="1:11" x14ac:dyDescent="0.3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 t="str">
        <f t="shared" si="8"/>
        <v>08/05/2023</v>
      </c>
      <c r="K284" t="str">
        <f t="shared" si="9"/>
        <v>18-25</v>
      </c>
    </row>
    <row r="285" spans="1:11" x14ac:dyDescent="0.3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 t="str">
        <f t="shared" si="8"/>
        <v>08/02/2023</v>
      </c>
      <c r="K285" t="str">
        <f t="shared" si="9"/>
        <v>36-45</v>
      </c>
    </row>
    <row r="286" spans="1:11" x14ac:dyDescent="0.3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 t="str">
        <f t="shared" si="8"/>
        <v>15/08/2023</v>
      </c>
      <c r="K286" t="str">
        <f t="shared" si="9"/>
        <v>26-35</v>
      </c>
    </row>
    <row r="287" spans="1:11" x14ac:dyDescent="0.3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 t="str">
        <f t="shared" si="8"/>
        <v>09/10/2023</v>
      </c>
      <c r="K287" t="str">
        <f t="shared" si="9"/>
        <v>46-60</v>
      </c>
    </row>
    <row r="288" spans="1:11" x14ac:dyDescent="0.3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 t="str">
        <f t="shared" si="8"/>
        <v>20/02/2023</v>
      </c>
      <c r="K288" t="str">
        <f t="shared" si="9"/>
        <v>46-60</v>
      </c>
    </row>
    <row r="289" spans="1:11" x14ac:dyDescent="0.3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 t="str">
        <f t="shared" si="8"/>
        <v>26/01/2023</v>
      </c>
      <c r="K289" t="str">
        <f t="shared" si="9"/>
        <v>26-35</v>
      </c>
    </row>
    <row r="290" spans="1:11" x14ac:dyDescent="0.3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 t="str">
        <f t="shared" si="8"/>
        <v>30/11/2023</v>
      </c>
      <c r="K290" t="str">
        <f t="shared" si="9"/>
        <v>46-60</v>
      </c>
    </row>
    <row r="291" spans="1:11" x14ac:dyDescent="0.3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 t="str">
        <f t="shared" si="8"/>
        <v>04/10/2023</v>
      </c>
      <c r="K291" t="str">
        <f t="shared" si="9"/>
        <v>26-35</v>
      </c>
    </row>
    <row r="292" spans="1:11" x14ac:dyDescent="0.3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 t="str">
        <f t="shared" si="8"/>
        <v>08/01/2023</v>
      </c>
      <c r="K292" t="str">
        <f t="shared" si="9"/>
        <v>46-60</v>
      </c>
    </row>
    <row r="293" spans="1:11" x14ac:dyDescent="0.3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 t="str">
        <f t="shared" si="8"/>
        <v>17/02/2023</v>
      </c>
      <c r="K293" t="str">
        <f t="shared" si="9"/>
        <v>18-25</v>
      </c>
    </row>
    <row r="294" spans="1:11" x14ac:dyDescent="0.3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 t="str">
        <f t="shared" si="8"/>
        <v>02/05/2023</v>
      </c>
      <c r="K294" t="str">
        <f t="shared" si="9"/>
        <v>46-60</v>
      </c>
    </row>
    <row r="295" spans="1:11" x14ac:dyDescent="0.3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 t="str">
        <f t="shared" si="8"/>
        <v>27/03/2023</v>
      </c>
      <c r="K295" t="str">
        <f t="shared" si="9"/>
        <v>18-25</v>
      </c>
    </row>
    <row r="296" spans="1:11" x14ac:dyDescent="0.3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 t="str">
        <f t="shared" si="8"/>
        <v>28/07/2023</v>
      </c>
      <c r="K296" t="str">
        <f t="shared" si="9"/>
        <v>26-35</v>
      </c>
    </row>
    <row r="297" spans="1:11" x14ac:dyDescent="0.3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 t="str">
        <f t="shared" si="8"/>
        <v>06/09/2023</v>
      </c>
      <c r="K297" t="str">
        <f t="shared" si="9"/>
        <v>18-25</v>
      </c>
    </row>
    <row r="298" spans="1:11" x14ac:dyDescent="0.3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 t="str">
        <f t="shared" si="8"/>
        <v>04/09/2023</v>
      </c>
      <c r="K298" t="str">
        <f t="shared" si="9"/>
        <v>36-45</v>
      </c>
    </row>
    <row r="299" spans="1:11" x14ac:dyDescent="0.3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 t="str">
        <f t="shared" si="8"/>
        <v>20/04/2023</v>
      </c>
      <c r="K299" t="str">
        <f t="shared" si="9"/>
        <v>26-35</v>
      </c>
    </row>
    <row r="300" spans="1:11" x14ac:dyDescent="0.3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 t="str">
        <f t="shared" si="8"/>
        <v>25/07/2023</v>
      </c>
      <c r="K300" t="str">
        <f t="shared" si="9"/>
        <v>60+</v>
      </c>
    </row>
    <row r="301" spans="1:11" x14ac:dyDescent="0.3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 t="str">
        <f t="shared" si="8"/>
        <v>31/01/2023</v>
      </c>
      <c r="K301" t="str">
        <f t="shared" si="9"/>
        <v>18-25</v>
      </c>
    </row>
    <row r="302" spans="1:11" x14ac:dyDescent="0.3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 t="str">
        <f t="shared" si="8"/>
        <v>26/03/2023</v>
      </c>
      <c r="K302" t="str">
        <f t="shared" si="9"/>
        <v>26-35</v>
      </c>
    </row>
    <row r="303" spans="1:11" x14ac:dyDescent="0.3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 t="str">
        <f t="shared" si="8"/>
        <v>14/07/2023</v>
      </c>
      <c r="K303" t="str">
        <f t="shared" si="9"/>
        <v>46-60</v>
      </c>
    </row>
    <row r="304" spans="1:11" x14ac:dyDescent="0.3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 t="str">
        <f t="shared" si="8"/>
        <v>02/01/2023</v>
      </c>
      <c r="K304" t="str">
        <f t="shared" si="9"/>
        <v>18-25</v>
      </c>
    </row>
    <row r="305" spans="1:11" x14ac:dyDescent="0.3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 t="str">
        <f t="shared" si="8"/>
        <v>19/07/2023</v>
      </c>
      <c r="K305" t="str">
        <f t="shared" si="9"/>
        <v>36-45</v>
      </c>
    </row>
    <row r="306" spans="1:11" x14ac:dyDescent="0.3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 t="str">
        <f t="shared" si="8"/>
        <v>16/05/2023</v>
      </c>
      <c r="K306" t="str">
        <f t="shared" si="9"/>
        <v>18-25</v>
      </c>
    </row>
    <row r="307" spans="1:11" x14ac:dyDescent="0.3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 t="str">
        <f t="shared" si="8"/>
        <v>21/08/2023</v>
      </c>
      <c r="K307" t="str">
        <f t="shared" si="9"/>
        <v>46-60</v>
      </c>
    </row>
    <row r="308" spans="1:11" x14ac:dyDescent="0.3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 t="str">
        <f t="shared" si="8"/>
        <v>27/05/2023</v>
      </c>
      <c r="K308" t="str">
        <f t="shared" si="9"/>
        <v>26-35</v>
      </c>
    </row>
    <row r="309" spans="1:11" x14ac:dyDescent="0.3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 t="str">
        <f t="shared" si="8"/>
        <v>05/08/2023</v>
      </c>
      <c r="K309" t="str">
        <f t="shared" si="9"/>
        <v>26-35</v>
      </c>
    </row>
    <row r="310" spans="1:11" x14ac:dyDescent="0.3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 t="str">
        <f t="shared" si="8"/>
        <v>23/12/2023</v>
      </c>
      <c r="K310" t="str">
        <f t="shared" si="9"/>
        <v>26-35</v>
      </c>
    </row>
    <row r="311" spans="1:11" x14ac:dyDescent="0.3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 t="str">
        <f t="shared" si="8"/>
        <v>12/10/2023</v>
      </c>
      <c r="K311" t="str">
        <f t="shared" si="9"/>
        <v>26-35</v>
      </c>
    </row>
    <row r="312" spans="1:11" x14ac:dyDescent="0.3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 t="str">
        <f t="shared" si="8"/>
        <v>05/12/2023</v>
      </c>
      <c r="K312" t="str">
        <f t="shared" si="9"/>
        <v>26-35</v>
      </c>
    </row>
    <row r="313" spans="1:11" x14ac:dyDescent="0.3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 t="str">
        <f t="shared" si="8"/>
        <v>07/09/2023</v>
      </c>
      <c r="K313" t="str">
        <f t="shared" si="9"/>
        <v>36-45</v>
      </c>
    </row>
    <row r="314" spans="1:11" x14ac:dyDescent="0.3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 t="str">
        <f t="shared" si="8"/>
        <v>21/03/2023</v>
      </c>
      <c r="K314" t="str">
        <f t="shared" si="9"/>
        <v>46-60</v>
      </c>
    </row>
    <row r="315" spans="1:11" x14ac:dyDescent="0.3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 t="str">
        <f t="shared" si="8"/>
        <v>08/04/2023</v>
      </c>
      <c r="K315" t="str">
        <f t="shared" si="9"/>
        <v>46-60</v>
      </c>
    </row>
    <row r="316" spans="1:11" x14ac:dyDescent="0.3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 t="str">
        <f t="shared" si="8"/>
        <v>01/06/2023</v>
      </c>
      <c r="K316" t="str">
        <f t="shared" si="9"/>
        <v>46-60</v>
      </c>
    </row>
    <row r="317" spans="1:11" x14ac:dyDescent="0.3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 t="str">
        <f t="shared" si="8"/>
        <v>22/04/2023</v>
      </c>
      <c r="K317" t="str">
        <f t="shared" si="9"/>
        <v>46-60</v>
      </c>
    </row>
    <row r="318" spans="1:11" x14ac:dyDescent="0.3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 t="str">
        <f t="shared" si="8"/>
        <v>30/01/2023</v>
      </c>
      <c r="K318" t="str">
        <f t="shared" si="9"/>
        <v>18-25</v>
      </c>
    </row>
    <row r="319" spans="1:11" x14ac:dyDescent="0.3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 t="str">
        <f t="shared" si="8"/>
        <v>24/10/2023</v>
      </c>
      <c r="K319" t="str">
        <f t="shared" si="9"/>
        <v>60+</v>
      </c>
    </row>
    <row r="320" spans="1:11" x14ac:dyDescent="0.3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 t="str">
        <f t="shared" si="8"/>
        <v>05/10/2023</v>
      </c>
      <c r="K320" t="str">
        <f t="shared" si="9"/>
        <v>26-35</v>
      </c>
    </row>
    <row r="321" spans="1:11" x14ac:dyDescent="0.3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 t="str">
        <f t="shared" si="8"/>
        <v>01/02/2023</v>
      </c>
      <c r="K321" t="str">
        <f t="shared" si="9"/>
        <v>26-35</v>
      </c>
    </row>
    <row r="322" spans="1:11" x14ac:dyDescent="0.3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 t="str">
        <f t="shared" si="8"/>
        <v>10/06/2023</v>
      </c>
      <c r="K322" t="str">
        <f t="shared" si="9"/>
        <v>26-35</v>
      </c>
    </row>
    <row r="323" spans="1:11" x14ac:dyDescent="0.3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 t="str">
        <f t="shared" ref="J323:J386" si="10">TEXT(B323,"dd/mm/yyyy")</f>
        <v>30/01/2023</v>
      </c>
      <c r="K323" t="str">
        <f t="shared" ref="K323:K386" si="11">IF(E323&lt;18,"Under 18",IF(E323&lt;=25,"18-25",IF(E323&lt;=35,"26-35",IF(E323&lt;=45,"36-45",IF(E323&lt;=60,"46-60","60+")))))</f>
        <v>46-60</v>
      </c>
    </row>
    <row r="324" spans="1:11" x14ac:dyDescent="0.3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 t="str">
        <f t="shared" si="10"/>
        <v>26/01/2023</v>
      </c>
      <c r="K324" t="str">
        <f t="shared" si="11"/>
        <v>26-35</v>
      </c>
    </row>
    <row r="325" spans="1:11" x14ac:dyDescent="0.3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 t="str">
        <f t="shared" si="10"/>
        <v>27/10/2023</v>
      </c>
      <c r="K325" t="str">
        <f t="shared" si="11"/>
        <v>46-60</v>
      </c>
    </row>
    <row r="326" spans="1:11" x14ac:dyDescent="0.3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 t="str">
        <f t="shared" si="10"/>
        <v>02/09/2023</v>
      </c>
      <c r="K326" t="str">
        <f t="shared" si="11"/>
        <v>46-60</v>
      </c>
    </row>
    <row r="327" spans="1:11" x14ac:dyDescent="0.3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 t="str">
        <f t="shared" si="10"/>
        <v>15/09/2023</v>
      </c>
      <c r="K327" t="str">
        <f t="shared" si="11"/>
        <v>18-25</v>
      </c>
    </row>
    <row r="328" spans="1:11" x14ac:dyDescent="0.3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 t="str">
        <f t="shared" si="10"/>
        <v>29/09/2023</v>
      </c>
      <c r="K328" t="str">
        <f t="shared" si="11"/>
        <v>46-60</v>
      </c>
    </row>
    <row r="329" spans="1:11" x14ac:dyDescent="0.3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 t="str">
        <f t="shared" si="10"/>
        <v>22/03/2023</v>
      </c>
      <c r="K329" t="str">
        <f t="shared" si="11"/>
        <v>36-45</v>
      </c>
    </row>
    <row r="330" spans="1:11" x14ac:dyDescent="0.3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 t="str">
        <f t="shared" si="10"/>
        <v>30/01/2023</v>
      </c>
      <c r="K330" t="str">
        <f t="shared" si="11"/>
        <v>46-60</v>
      </c>
    </row>
    <row r="331" spans="1:11" x14ac:dyDescent="0.3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 t="str">
        <f t="shared" si="10"/>
        <v>18/09/2023</v>
      </c>
      <c r="K331" t="str">
        <f t="shared" si="11"/>
        <v>18-25</v>
      </c>
    </row>
    <row r="332" spans="1:11" x14ac:dyDescent="0.3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 t="str">
        <f t="shared" si="10"/>
        <v>11/02/2023</v>
      </c>
      <c r="K332" t="str">
        <f t="shared" si="11"/>
        <v>26-35</v>
      </c>
    </row>
    <row r="333" spans="1:11" x14ac:dyDescent="0.3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 t="str">
        <f t="shared" si="10"/>
        <v>06/04/2023</v>
      </c>
      <c r="K333" t="str">
        <f t="shared" si="11"/>
        <v>46-60</v>
      </c>
    </row>
    <row r="334" spans="1:11" x14ac:dyDescent="0.3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 t="str">
        <f t="shared" si="10"/>
        <v>05/02/2023</v>
      </c>
      <c r="K334" t="str">
        <f t="shared" si="11"/>
        <v>46-60</v>
      </c>
    </row>
    <row r="335" spans="1:11" x14ac:dyDescent="0.3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 t="str">
        <f t="shared" si="10"/>
        <v>01/11/2023</v>
      </c>
      <c r="K335" t="str">
        <f t="shared" si="11"/>
        <v>26-35</v>
      </c>
    </row>
    <row r="336" spans="1:11" x14ac:dyDescent="0.3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 t="str">
        <f t="shared" si="10"/>
        <v>04/02/2023</v>
      </c>
      <c r="K336" t="str">
        <f t="shared" si="11"/>
        <v>46-60</v>
      </c>
    </row>
    <row r="337" spans="1:11" x14ac:dyDescent="0.3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 t="str">
        <f t="shared" si="10"/>
        <v>12/12/2023</v>
      </c>
      <c r="K337" t="str">
        <f t="shared" si="11"/>
        <v>46-60</v>
      </c>
    </row>
    <row r="338" spans="1:11" x14ac:dyDescent="0.3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 t="str">
        <f t="shared" si="10"/>
        <v>01/05/2023</v>
      </c>
      <c r="K338" t="str">
        <f t="shared" si="11"/>
        <v>36-45</v>
      </c>
    </row>
    <row r="339" spans="1:11" x14ac:dyDescent="0.3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 t="str">
        <f t="shared" si="10"/>
        <v>26/07/2023</v>
      </c>
      <c r="K339" t="str">
        <f t="shared" si="11"/>
        <v>46-60</v>
      </c>
    </row>
    <row r="340" spans="1:11" x14ac:dyDescent="0.3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 t="str">
        <f t="shared" si="10"/>
        <v>03/03/2023</v>
      </c>
      <c r="K340" t="str">
        <f t="shared" si="11"/>
        <v>18-25</v>
      </c>
    </row>
    <row r="341" spans="1:11" x14ac:dyDescent="0.3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 t="str">
        <f t="shared" si="10"/>
        <v>19/10/2023</v>
      </c>
      <c r="K341" t="str">
        <f t="shared" si="11"/>
        <v>36-45</v>
      </c>
    </row>
    <row r="342" spans="1:11" x14ac:dyDescent="0.3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 t="str">
        <f t="shared" si="10"/>
        <v>07/05/2023</v>
      </c>
      <c r="K342" t="str">
        <f t="shared" si="11"/>
        <v>26-35</v>
      </c>
    </row>
    <row r="343" spans="1:11" x14ac:dyDescent="0.3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 t="str">
        <f t="shared" si="10"/>
        <v>24/10/2023</v>
      </c>
      <c r="K343" t="str">
        <f t="shared" si="11"/>
        <v>36-45</v>
      </c>
    </row>
    <row r="344" spans="1:11" x14ac:dyDescent="0.3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 t="str">
        <f t="shared" si="10"/>
        <v>01/11/2023</v>
      </c>
      <c r="K344" t="str">
        <f t="shared" si="11"/>
        <v>18-25</v>
      </c>
    </row>
    <row r="345" spans="1:11" x14ac:dyDescent="0.3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 t="str">
        <f t="shared" si="10"/>
        <v>21/01/2023</v>
      </c>
      <c r="K345" t="str">
        <f t="shared" si="11"/>
        <v>36-45</v>
      </c>
    </row>
    <row r="346" spans="1:11" x14ac:dyDescent="0.3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 t="str">
        <f t="shared" si="10"/>
        <v>14/11/2023</v>
      </c>
      <c r="K346" t="str">
        <f t="shared" si="11"/>
        <v>60+</v>
      </c>
    </row>
    <row r="347" spans="1:11" x14ac:dyDescent="0.3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 t="str">
        <f t="shared" si="10"/>
        <v>11/02/2023</v>
      </c>
      <c r="K347" t="str">
        <f t="shared" si="11"/>
        <v>46-60</v>
      </c>
    </row>
    <row r="348" spans="1:11" x14ac:dyDescent="0.3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 t="str">
        <f t="shared" si="10"/>
        <v>03/08/2023</v>
      </c>
      <c r="K348" t="str">
        <f t="shared" si="11"/>
        <v>36-45</v>
      </c>
    </row>
    <row r="349" spans="1:11" x14ac:dyDescent="0.3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 t="str">
        <f t="shared" si="10"/>
        <v>03/12/2023</v>
      </c>
      <c r="K349" t="str">
        <f t="shared" si="11"/>
        <v>26-35</v>
      </c>
    </row>
    <row r="350" spans="1:11" x14ac:dyDescent="0.3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 t="str">
        <f t="shared" si="10"/>
        <v>26/10/2023</v>
      </c>
      <c r="K350" t="str">
        <f t="shared" si="11"/>
        <v>46-60</v>
      </c>
    </row>
    <row r="351" spans="1:11" x14ac:dyDescent="0.3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 t="str">
        <f t="shared" si="10"/>
        <v>17/10/2023</v>
      </c>
      <c r="K351" t="str">
        <f t="shared" si="11"/>
        <v>18-25</v>
      </c>
    </row>
    <row r="352" spans="1:11" x14ac:dyDescent="0.3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 t="str">
        <f t="shared" si="10"/>
        <v>25/09/2023</v>
      </c>
      <c r="K352" t="str">
        <f t="shared" si="11"/>
        <v>46-60</v>
      </c>
    </row>
    <row r="353" spans="1:11" x14ac:dyDescent="0.3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 t="str">
        <f t="shared" si="10"/>
        <v>11/06/2023</v>
      </c>
      <c r="K353" t="str">
        <f t="shared" si="11"/>
        <v>46-60</v>
      </c>
    </row>
    <row r="354" spans="1:11" x14ac:dyDescent="0.3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 t="str">
        <f t="shared" si="10"/>
        <v>14/05/2023</v>
      </c>
      <c r="K354" t="str">
        <f t="shared" si="11"/>
        <v>26-35</v>
      </c>
    </row>
    <row r="355" spans="1:11" x14ac:dyDescent="0.3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 t="str">
        <f t="shared" si="10"/>
        <v>15/04/2023</v>
      </c>
      <c r="K355" t="str">
        <f t="shared" si="11"/>
        <v>46-60</v>
      </c>
    </row>
    <row r="356" spans="1:11" x14ac:dyDescent="0.3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 t="str">
        <f t="shared" si="10"/>
        <v>09/12/2023</v>
      </c>
      <c r="K356" t="str">
        <f t="shared" si="11"/>
        <v>46-60</v>
      </c>
    </row>
    <row r="357" spans="1:11" x14ac:dyDescent="0.3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 t="str">
        <f t="shared" si="10"/>
        <v>10/06/2023</v>
      </c>
      <c r="K357" t="str">
        <f t="shared" si="11"/>
        <v>46-60</v>
      </c>
    </row>
    <row r="358" spans="1:11" x14ac:dyDescent="0.3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 t="str">
        <f t="shared" si="10"/>
        <v>03/05/2023</v>
      </c>
      <c r="K358" t="str">
        <f t="shared" si="11"/>
        <v>36-45</v>
      </c>
    </row>
    <row r="359" spans="1:11" x14ac:dyDescent="0.3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 t="str">
        <f t="shared" si="10"/>
        <v>16/05/2023</v>
      </c>
      <c r="K359" t="str">
        <f t="shared" si="11"/>
        <v>26-35</v>
      </c>
    </row>
    <row r="360" spans="1:11" x14ac:dyDescent="0.3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 t="str">
        <f t="shared" si="10"/>
        <v>22/07/2023</v>
      </c>
      <c r="K360" t="str">
        <f t="shared" si="11"/>
        <v>46-60</v>
      </c>
    </row>
    <row r="361" spans="1:11" x14ac:dyDescent="0.3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 t="str">
        <f t="shared" si="10"/>
        <v>09/03/2023</v>
      </c>
      <c r="K361" t="str">
        <f t="shared" si="11"/>
        <v>36-45</v>
      </c>
    </row>
    <row r="362" spans="1:11" x14ac:dyDescent="0.3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 t="str">
        <f t="shared" si="10"/>
        <v>10/12/2023</v>
      </c>
      <c r="K362" t="str">
        <f t="shared" si="11"/>
        <v>26-35</v>
      </c>
    </row>
    <row r="363" spans="1:11" x14ac:dyDescent="0.3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 t="str">
        <f t="shared" si="10"/>
        <v>27/11/2023</v>
      </c>
      <c r="K363" t="str">
        <f t="shared" si="11"/>
        <v>46-60</v>
      </c>
    </row>
    <row r="364" spans="1:11" x14ac:dyDescent="0.3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 t="str">
        <f t="shared" si="10"/>
        <v>03/06/2023</v>
      </c>
      <c r="K364" t="str">
        <f t="shared" si="11"/>
        <v>60+</v>
      </c>
    </row>
    <row r="365" spans="1:11" x14ac:dyDescent="0.3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 t="str">
        <f t="shared" si="10"/>
        <v>23/08/2023</v>
      </c>
      <c r="K365" t="str">
        <f t="shared" si="11"/>
        <v>18-25</v>
      </c>
    </row>
    <row r="366" spans="1:11" x14ac:dyDescent="0.3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 t="str">
        <f t="shared" si="10"/>
        <v>11/06/2023</v>
      </c>
      <c r="K366" t="str">
        <f t="shared" si="11"/>
        <v>26-35</v>
      </c>
    </row>
    <row r="367" spans="1:11" x14ac:dyDescent="0.3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 t="str">
        <f t="shared" si="10"/>
        <v>07/02/2023</v>
      </c>
      <c r="K367" t="str">
        <f t="shared" si="11"/>
        <v>46-60</v>
      </c>
    </row>
    <row r="368" spans="1:11" x14ac:dyDescent="0.3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 t="str">
        <f t="shared" si="10"/>
        <v>05/01/2023</v>
      </c>
      <c r="K368" t="str">
        <f t="shared" si="11"/>
        <v>46-60</v>
      </c>
    </row>
    <row r="369" spans="1:11" x14ac:dyDescent="0.3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 t="str">
        <f t="shared" si="10"/>
        <v>23/08/2023</v>
      </c>
      <c r="K369" t="str">
        <f t="shared" si="11"/>
        <v>46-60</v>
      </c>
    </row>
    <row r="370" spans="1:11" x14ac:dyDescent="0.3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 t="str">
        <f t="shared" si="10"/>
        <v>15/11/2023</v>
      </c>
      <c r="K370" t="str">
        <f t="shared" si="11"/>
        <v>18-25</v>
      </c>
    </row>
    <row r="371" spans="1:11" x14ac:dyDescent="0.3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 t="str">
        <f t="shared" si="10"/>
        <v>16/10/2023</v>
      </c>
      <c r="K371" t="str">
        <f t="shared" si="11"/>
        <v>18-25</v>
      </c>
    </row>
    <row r="372" spans="1:11" x14ac:dyDescent="0.3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 t="str">
        <f t="shared" si="10"/>
        <v>21/02/2023</v>
      </c>
      <c r="K372" t="str">
        <f t="shared" si="11"/>
        <v>18-25</v>
      </c>
    </row>
    <row r="373" spans="1:11" x14ac:dyDescent="0.3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 t="str">
        <f t="shared" si="10"/>
        <v>07/02/2023</v>
      </c>
      <c r="K373" t="str">
        <f t="shared" si="11"/>
        <v>18-25</v>
      </c>
    </row>
    <row r="374" spans="1:11" x14ac:dyDescent="0.3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 t="str">
        <f t="shared" si="10"/>
        <v>03/10/2023</v>
      </c>
      <c r="K374" t="str">
        <f t="shared" si="11"/>
        <v>18-25</v>
      </c>
    </row>
    <row r="375" spans="1:11" x14ac:dyDescent="0.3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 t="str">
        <f t="shared" si="10"/>
        <v>20/04/2023</v>
      </c>
      <c r="K375" t="str">
        <f t="shared" si="11"/>
        <v>46-60</v>
      </c>
    </row>
    <row r="376" spans="1:11" x14ac:dyDescent="0.3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 t="str">
        <f t="shared" si="10"/>
        <v>17/09/2023</v>
      </c>
      <c r="K376" t="str">
        <f t="shared" si="11"/>
        <v>26-35</v>
      </c>
    </row>
    <row r="377" spans="1:11" x14ac:dyDescent="0.3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 t="str">
        <f t="shared" si="10"/>
        <v>16/05/2023</v>
      </c>
      <c r="K377" t="str">
        <f t="shared" si="11"/>
        <v>60+</v>
      </c>
    </row>
    <row r="378" spans="1:11" x14ac:dyDescent="0.3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 t="str">
        <f t="shared" si="10"/>
        <v>09/03/2023</v>
      </c>
      <c r="K378" t="str">
        <f t="shared" si="11"/>
        <v>46-60</v>
      </c>
    </row>
    <row r="379" spans="1:11" x14ac:dyDescent="0.3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 t="str">
        <f t="shared" si="10"/>
        <v>28/06/2023</v>
      </c>
      <c r="K379" t="str">
        <f t="shared" si="11"/>
        <v>46-60</v>
      </c>
    </row>
    <row r="380" spans="1:11" x14ac:dyDescent="0.3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 t="str">
        <f t="shared" si="10"/>
        <v>05/02/2023</v>
      </c>
      <c r="K380" t="str">
        <f t="shared" si="11"/>
        <v>46-60</v>
      </c>
    </row>
    <row r="381" spans="1:11" x14ac:dyDescent="0.3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 t="str">
        <f t="shared" si="10"/>
        <v>06/05/2023</v>
      </c>
      <c r="K381" t="str">
        <f t="shared" si="11"/>
        <v>46-60</v>
      </c>
    </row>
    <row r="382" spans="1:11" x14ac:dyDescent="0.3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 t="str">
        <f t="shared" si="10"/>
        <v>09/07/2023</v>
      </c>
      <c r="K382" t="str">
        <f t="shared" si="11"/>
        <v>36-45</v>
      </c>
    </row>
    <row r="383" spans="1:11" x14ac:dyDescent="0.3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 t="str">
        <f t="shared" si="10"/>
        <v>26/05/2023</v>
      </c>
      <c r="K383" t="str">
        <f t="shared" si="11"/>
        <v>46-60</v>
      </c>
    </row>
    <row r="384" spans="1:11" x14ac:dyDescent="0.3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 t="str">
        <f t="shared" si="10"/>
        <v>22/03/2023</v>
      </c>
      <c r="K384" t="str">
        <f t="shared" si="11"/>
        <v>46-60</v>
      </c>
    </row>
    <row r="385" spans="1:11" x14ac:dyDescent="0.3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 t="str">
        <f t="shared" si="10"/>
        <v>13/08/2023</v>
      </c>
      <c r="K385" t="str">
        <f t="shared" si="11"/>
        <v>46-60</v>
      </c>
    </row>
    <row r="386" spans="1:11" x14ac:dyDescent="0.3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 t="str">
        <f t="shared" si="10"/>
        <v>06/10/2023</v>
      </c>
      <c r="K386" t="str">
        <f t="shared" si="11"/>
        <v>46-60</v>
      </c>
    </row>
    <row r="387" spans="1:11" x14ac:dyDescent="0.3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 t="str">
        <f t="shared" ref="J387:J450" si="12">TEXT(B387,"dd/mm/yyyy")</f>
        <v>27/12/2023</v>
      </c>
      <c r="K387" t="str">
        <f t="shared" ref="K387:K450" si="13">IF(E387&lt;18,"Under 18",IF(E387&lt;=25,"18-25",IF(E387&lt;=35,"26-35",IF(E387&lt;=45,"36-45",IF(E387&lt;=60,"46-60","60+")))))</f>
        <v>46-60</v>
      </c>
    </row>
    <row r="388" spans="1:11" x14ac:dyDescent="0.3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 t="str">
        <f t="shared" si="12"/>
        <v>04/06/2023</v>
      </c>
      <c r="K388" t="str">
        <f t="shared" si="13"/>
        <v>36-45</v>
      </c>
    </row>
    <row r="389" spans="1:11" x14ac:dyDescent="0.3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 t="str">
        <f t="shared" si="12"/>
        <v>10/11/2023</v>
      </c>
      <c r="K389" t="str">
        <f t="shared" si="13"/>
        <v>46-60</v>
      </c>
    </row>
    <row r="390" spans="1:11" x14ac:dyDescent="0.3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 t="str">
        <f t="shared" si="12"/>
        <v>01/12/2023</v>
      </c>
      <c r="K390" t="str">
        <f t="shared" si="13"/>
        <v>18-25</v>
      </c>
    </row>
    <row r="391" spans="1:11" x14ac:dyDescent="0.3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 t="str">
        <f t="shared" si="12"/>
        <v>28/09/2023</v>
      </c>
      <c r="K391" t="str">
        <f t="shared" si="13"/>
        <v>36-45</v>
      </c>
    </row>
    <row r="392" spans="1:11" x14ac:dyDescent="0.3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 t="str">
        <f t="shared" si="12"/>
        <v>05/01/2023</v>
      </c>
      <c r="K392" t="str">
        <f t="shared" si="13"/>
        <v>18-25</v>
      </c>
    </row>
    <row r="393" spans="1:11" x14ac:dyDescent="0.3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 t="str">
        <f t="shared" si="12"/>
        <v>08/12/2023</v>
      </c>
      <c r="K393" t="str">
        <f t="shared" si="13"/>
        <v>26-35</v>
      </c>
    </row>
    <row r="394" spans="1:11" x14ac:dyDescent="0.3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 t="str">
        <f t="shared" si="12"/>
        <v>11/10/2023</v>
      </c>
      <c r="K394" t="str">
        <f t="shared" si="13"/>
        <v>18-25</v>
      </c>
    </row>
    <row r="395" spans="1:11" x14ac:dyDescent="0.3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 t="str">
        <f t="shared" si="12"/>
        <v>03/06/2023</v>
      </c>
      <c r="K395" t="str">
        <f t="shared" si="13"/>
        <v>26-35</v>
      </c>
    </row>
    <row r="396" spans="1:11" x14ac:dyDescent="0.3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 t="str">
        <f t="shared" si="12"/>
        <v>06/12/2023</v>
      </c>
      <c r="K396" t="str">
        <f t="shared" si="13"/>
        <v>46-60</v>
      </c>
    </row>
    <row r="397" spans="1:11" x14ac:dyDescent="0.3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 t="str">
        <f t="shared" si="12"/>
        <v>23/02/2023</v>
      </c>
      <c r="K397" t="str">
        <f t="shared" si="13"/>
        <v>46-60</v>
      </c>
    </row>
    <row r="398" spans="1:11" x14ac:dyDescent="0.3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 t="str">
        <f t="shared" si="12"/>
        <v>10/03/2023</v>
      </c>
      <c r="K398" t="str">
        <f t="shared" si="13"/>
        <v>26-35</v>
      </c>
    </row>
    <row r="399" spans="1:11" x14ac:dyDescent="0.3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 t="str">
        <f t="shared" si="12"/>
        <v>16/05/2023</v>
      </c>
      <c r="K399" t="str">
        <f t="shared" si="13"/>
        <v>46-60</v>
      </c>
    </row>
    <row r="400" spans="1:11" x14ac:dyDescent="0.3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 t="str">
        <f t="shared" si="12"/>
        <v>01/03/2023</v>
      </c>
      <c r="K400" t="str">
        <f t="shared" si="13"/>
        <v>60+</v>
      </c>
    </row>
    <row r="401" spans="1:11" x14ac:dyDescent="0.3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 t="str">
        <f t="shared" si="12"/>
        <v>24/02/2023</v>
      </c>
      <c r="K401" t="str">
        <f t="shared" si="13"/>
        <v>46-60</v>
      </c>
    </row>
    <row r="402" spans="1:11" x14ac:dyDescent="0.3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 t="str">
        <f t="shared" si="12"/>
        <v>11/10/2023</v>
      </c>
      <c r="K402" t="str">
        <f t="shared" si="13"/>
        <v>60+</v>
      </c>
    </row>
    <row r="403" spans="1:11" x14ac:dyDescent="0.3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 t="str">
        <f t="shared" si="12"/>
        <v>21/03/2023</v>
      </c>
      <c r="K403" t="str">
        <f t="shared" si="13"/>
        <v>36-45</v>
      </c>
    </row>
    <row r="404" spans="1:11" x14ac:dyDescent="0.3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 t="str">
        <f t="shared" si="12"/>
        <v>20/05/2023</v>
      </c>
      <c r="K404" t="str">
        <f t="shared" si="13"/>
        <v>26-35</v>
      </c>
    </row>
    <row r="405" spans="1:11" x14ac:dyDescent="0.3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 t="str">
        <f t="shared" si="12"/>
        <v>25/05/2023</v>
      </c>
      <c r="K405" t="str">
        <f t="shared" si="13"/>
        <v>46-60</v>
      </c>
    </row>
    <row r="406" spans="1:11" x14ac:dyDescent="0.3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 t="str">
        <f t="shared" si="12"/>
        <v>06/11/2023</v>
      </c>
      <c r="K406" t="str">
        <f t="shared" si="13"/>
        <v>18-25</v>
      </c>
    </row>
    <row r="407" spans="1:11" x14ac:dyDescent="0.3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 t="str">
        <f t="shared" si="12"/>
        <v>18/04/2023</v>
      </c>
      <c r="K407" t="str">
        <f t="shared" si="13"/>
        <v>18-25</v>
      </c>
    </row>
    <row r="408" spans="1:11" x14ac:dyDescent="0.3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 t="str">
        <f t="shared" si="12"/>
        <v>25/06/2023</v>
      </c>
      <c r="K408" t="str">
        <f t="shared" si="13"/>
        <v>46-60</v>
      </c>
    </row>
    <row r="409" spans="1:11" x14ac:dyDescent="0.3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 t="str">
        <f t="shared" si="12"/>
        <v>15/04/2023</v>
      </c>
      <c r="K409" t="str">
        <f t="shared" si="13"/>
        <v>60+</v>
      </c>
    </row>
    <row r="410" spans="1:11" x14ac:dyDescent="0.3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 t="str">
        <f t="shared" si="12"/>
        <v>18/12/2023</v>
      </c>
      <c r="K410" t="str">
        <f t="shared" si="13"/>
        <v>18-25</v>
      </c>
    </row>
    <row r="411" spans="1:11" x14ac:dyDescent="0.3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 t="str">
        <f t="shared" si="12"/>
        <v>21/11/2023</v>
      </c>
      <c r="K411" t="str">
        <f t="shared" si="13"/>
        <v>26-35</v>
      </c>
    </row>
    <row r="412" spans="1:11" x14ac:dyDescent="0.3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 t="str">
        <f t="shared" si="12"/>
        <v>16/05/2023</v>
      </c>
      <c r="K412" t="str">
        <f t="shared" si="13"/>
        <v>60+</v>
      </c>
    </row>
    <row r="413" spans="1:11" x14ac:dyDescent="0.3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 t="str">
        <f t="shared" si="12"/>
        <v>16/09/2023</v>
      </c>
      <c r="K413" t="str">
        <f t="shared" si="13"/>
        <v>18-25</v>
      </c>
    </row>
    <row r="414" spans="1:11" x14ac:dyDescent="0.3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 t="str">
        <f t="shared" si="12"/>
        <v>08/09/2023</v>
      </c>
      <c r="K414" t="str">
        <f t="shared" si="13"/>
        <v>36-45</v>
      </c>
    </row>
    <row r="415" spans="1:11" x14ac:dyDescent="0.3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 t="str">
        <f t="shared" si="12"/>
        <v>09/05/2023</v>
      </c>
      <c r="K415" t="str">
        <f t="shared" si="13"/>
        <v>46-60</v>
      </c>
    </row>
    <row r="416" spans="1:11" x14ac:dyDescent="0.3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 t="str">
        <f t="shared" si="12"/>
        <v>27/01/2023</v>
      </c>
      <c r="K416" t="str">
        <f t="shared" si="13"/>
        <v>46-60</v>
      </c>
    </row>
    <row r="417" spans="1:11" x14ac:dyDescent="0.3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 t="str">
        <f t="shared" si="12"/>
        <v>17/02/2023</v>
      </c>
      <c r="K417" t="str">
        <f t="shared" si="13"/>
        <v>46-60</v>
      </c>
    </row>
    <row r="418" spans="1:11" x14ac:dyDescent="0.3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 t="str">
        <f t="shared" si="12"/>
        <v>21/11/2023</v>
      </c>
      <c r="K418" t="str">
        <f t="shared" si="13"/>
        <v>36-45</v>
      </c>
    </row>
    <row r="419" spans="1:11" x14ac:dyDescent="0.3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 t="str">
        <f t="shared" si="12"/>
        <v>05/08/2023</v>
      </c>
      <c r="K419" t="str">
        <f t="shared" si="13"/>
        <v>46-60</v>
      </c>
    </row>
    <row r="420" spans="1:11" x14ac:dyDescent="0.3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 t="str">
        <f t="shared" si="12"/>
        <v>22/05/2023</v>
      </c>
      <c r="K420" t="str">
        <f t="shared" si="13"/>
        <v>36-45</v>
      </c>
    </row>
    <row r="421" spans="1:11" x14ac:dyDescent="0.3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 t="str">
        <f t="shared" si="12"/>
        <v>23/01/2023</v>
      </c>
      <c r="K421" t="str">
        <f t="shared" si="13"/>
        <v>18-25</v>
      </c>
    </row>
    <row r="422" spans="1:11" x14ac:dyDescent="0.3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 t="str">
        <f t="shared" si="12"/>
        <v>02/01/2023</v>
      </c>
      <c r="K422" t="str">
        <f t="shared" si="13"/>
        <v>36-45</v>
      </c>
    </row>
    <row r="423" spans="1:11" x14ac:dyDescent="0.3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 t="str">
        <f t="shared" si="12"/>
        <v>20/06/2023</v>
      </c>
      <c r="K423" t="str">
        <f t="shared" si="13"/>
        <v>26-35</v>
      </c>
    </row>
    <row r="424" spans="1:11" x14ac:dyDescent="0.3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 t="str">
        <f t="shared" si="12"/>
        <v>08/03/2023</v>
      </c>
      <c r="K424" t="str">
        <f t="shared" si="13"/>
        <v>26-35</v>
      </c>
    </row>
    <row r="425" spans="1:11" x14ac:dyDescent="0.3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 t="str">
        <f t="shared" si="12"/>
        <v>23/11/2023</v>
      </c>
      <c r="K425" t="str">
        <f t="shared" si="13"/>
        <v>46-60</v>
      </c>
    </row>
    <row r="426" spans="1:11" x14ac:dyDescent="0.3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 t="str">
        <f t="shared" si="12"/>
        <v>15/05/2023</v>
      </c>
      <c r="K426" t="str">
        <f t="shared" si="13"/>
        <v>46-60</v>
      </c>
    </row>
    <row r="427" spans="1:11" x14ac:dyDescent="0.3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 t="str">
        <f t="shared" si="12"/>
        <v>24/03/2023</v>
      </c>
      <c r="K427" t="str">
        <f t="shared" si="13"/>
        <v>18-25</v>
      </c>
    </row>
    <row r="428" spans="1:11" x14ac:dyDescent="0.3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 t="str">
        <f t="shared" si="12"/>
        <v>15/08/2023</v>
      </c>
      <c r="K428" t="str">
        <f t="shared" si="13"/>
        <v>18-25</v>
      </c>
    </row>
    <row r="429" spans="1:11" x14ac:dyDescent="0.3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 t="str">
        <f t="shared" si="12"/>
        <v>10/10/2023</v>
      </c>
      <c r="K429" t="str">
        <f t="shared" si="13"/>
        <v>36-45</v>
      </c>
    </row>
    <row r="430" spans="1:11" x14ac:dyDescent="0.3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 t="str">
        <f t="shared" si="12"/>
        <v>28/12/2023</v>
      </c>
      <c r="K430" t="str">
        <f t="shared" si="13"/>
        <v>60+</v>
      </c>
    </row>
    <row r="431" spans="1:11" x14ac:dyDescent="0.3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 t="str">
        <f t="shared" si="12"/>
        <v>07/08/2023</v>
      </c>
      <c r="K431" t="str">
        <f t="shared" si="13"/>
        <v>36-45</v>
      </c>
    </row>
    <row r="432" spans="1:11" x14ac:dyDescent="0.3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 t="str">
        <f t="shared" si="12"/>
        <v>15/10/2023</v>
      </c>
      <c r="K432" t="str">
        <f t="shared" si="13"/>
        <v>60+</v>
      </c>
    </row>
    <row r="433" spans="1:11" x14ac:dyDescent="0.3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 t="str">
        <f t="shared" si="12"/>
        <v>05/01/2023</v>
      </c>
      <c r="K433" t="str">
        <f t="shared" si="13"/>
        <v>46-60</v>
      </c>
    </row>
    <row r="434" spans="1:11" x14ac:dyDescent="0.3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 t="str">
        <f t="shared" si="12"/>
        <v>27/02/2023</v>
      </c>
      <c r="K434" t="str">
        <f t="shared" si="13"/>
        <v>26-35</v>
      </c>
    </row>
    <row r="435" spans="1:11" x14ac:dyDescent="0.3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 t="str">
        <f t="shared" si="12"/>
        <v>08/02/2023</v>
      </c>
      <c r="K435" t="str">
        <f t="shared" si="13"/>
        <v>36-45</v>
      </c>
    </row>
    <row r="436" spans="1:11" x14ac:dyDescent="0.3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 t="str">
        <f t="shared" si="12"/>
        <v>20/12/2023</v>
      </c>
      <c r="K436" t="str">
        <f t="shared" si="13"/>
        <v>26-35</v>
      </c>
    </row>
    <row r="437" spans="1:11" x14ac:dyDescent="0.3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 t="str">
        <f t="shared" si="12"/>
        <v>18/03/2023</v>
      </c>
      <c r="K437" t="str">
        <f t="shared" si="13"/>
        <v>46-60</v>
      </c>
    </row>
    <row r="438" spans="1:11" x14ac:dyDescent="0.3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 t="str">
        <f t="shared" si="12"/>
        <v>07/10/2023</v>
      </c>
      <c r="K438" t="str">
        <f t="shared" si="13"/>
        <v>26-35</v>
      </c>
    </row>
    <row r="439" spans="1:11" x14ac:dyDescent="0.3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 t="str">
        <f t="shared" si="12"/>
        <v>19/01/2023</v>
      </c>
      <c r="K439" t="str">
        <f t="shared" si="13"/>
        <v>36-45</v>
      </c>
    </row>
    <row r="440" spans="1:11" x14ac:dyDescent="0.3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 t="str">
        <f t="shared" si="12"/>
        <v>09/07/2023</v>
      </c>
      <c r="K440" t="str">
        <f t="shared" si="13"/>
        <v>46-60</v>
      </c>
    </row>
    <row r="441" spans="1:11" x14ac:dyDescent="0.3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 t="str">
        <f t="shared" si="12"/>
        <v>26/10/2023</v>
      </c>
      <c r="K441" t="str">
        <f t="shared" si="13"/>
        <v>60+</v>
      </c>
    </row>
    <row r="442" spans="1:11" x14ac:dyDescent="0.3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 t="str">
        <f t="shared" si="12"/>
        <v>10/10/2023</v>
      </c>
      <c r="K442" t="str">
        <f t="shared" si="13"/>
        <v>46-60</v>
      </c>
    </row>
    <row r="443" spans="1:11" x14ac:dyDescent="0.3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 t="str">
        <f t="shared" si="12"/>
        <v>17/03/2023</v>
      </c>
      <c r="K443" t="str">
        <f t="shared" si="13"/>
        <v>46-60</v>
      </c>
    </row>
    <row r="444" spans="1:11" x14ac:dyDescent="0.3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 t="str">
        <f t="shared" si="12"/>
        <v>09/08/2023</v>
      </c>
      <c r="K444" t="str">
        <f t="shared" si="13"/>
        <v>26-35</v>
      </c>
    </row>
    <row r="445" spans="1:11" x14ac:dyDescent="0.3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 t="str">
        <f t="shared" si="12"/>
        <v>07/03/2023</v>
      </c>
      <c r="K445" t="str">
        <f t="shared" si="13"/>
        <v>60+</v>
      </c>
    </row>
    <row r="446" spans="1:11" x14ac:dyDescent="0.3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 t="str">
        <f t="shared" si="12"/>
        <v>22/01/2023</v>
      </c>
      <c r="K446" t="str">
        <f t="shared" si="13"/>
        <v>46-60</v>
      </c>
    </row>
    <row r="447" spans="1:11" x14ac:dyDescent="0.3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 t="str">
        <f t="shared" si="12"/>
        <v>07/06/2023</v>
      </c>
      <c r="K447" t="str">
        <f t="shared" si="13"/>
        <v>18-25</v>
      </c>
    </row>
    <row r="448" spans="1:11" x14ac:dyDescent="0.3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 t="str">
        <f t="shared" si="12"/>
        <v>06/07/2023</v>
      </c>
      <c r="K448" t="str">
        <f t="shared" si="13"/>
        <v>18-25</v>
      </c>
    </row>
    <row r="449" spans="1:11" x14ac:dyDescent="0.3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 t="str">
        <f t="shared" si="12"/>
        <v>21/01/2023</v>
      </c>
      <c r="K449" t="str">
        <f t="shared" si="13"/>
        <v>46-60</v>
      </c>
    </row>
    <row r="450" spans="1:11" x14ac:dyDescent="0.3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 t="str">
        <f t="shared" si="12"/>
        <v>03/07/2023</v>
      </c>
      <c r="K450" t="str">
        <f t="shared" si="13"/>
        <v>18-25</v>
      </c>
    </row>
    <row r="451" spans="1:11" x14ac:dyDescent="0.3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 t="str">
        <f t="shared" ref="J451:J514" si="14">TEXT(B451,"dd/mm/yyyy")</f>
        <v>18/04/2023</v>
      </c>
      <c r="K451" t="str">
        <f t="shared" ref="K451:K514" si="15">IF(E451&lt;18,"Under 18",IF(E451&lt;=25,"18-25",IF(E451&lt;=35,"26-35",IF(E451&lt;=45,"36-45",IF(E451&lt;=60,"46-60","60+")))))</f>
        <v>46-60</v>
      </c>
    </row>
    <row r="452" spans="1:11" x14ac:dyDescent="0.3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 t="str">
        <f t="shared" si="14"/>
        <v>16/12/2023</v>
      </c>
      <c r="K452" t="str">
        <f t="shared" si="15"/>
        <v>36-45</v>
      </c>
    </row>
    <row r="453" spans="1:11" x14ac:dyDescent="0.3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 t="str">
        <f t="shared" si="14"/>
        <v>08/05/2023</v>
      </c>
      <c r="K453" t="str">
        <f t="shared" si="15"/>
        <v>46-60</v>
      </c>
    </row>
    <row r="454" spans="1:11" x14ac:dyDescent="0.3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 t="str">
        <f t="shared" si="14"/>
        <v>08/12/2023</v>
      </c>
      <c r="K454" t="str">
        <f t="shared" si="15"/>
        <v>26-35</v>
      </c>
    </row>
    <row r="455" spans="1:11" x14ac:dyDescent="0.3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 t="str">
        <f t="shared" si="14"/>
        <v>22/02/2023</v>
      </c>
      <c r="K455" t="str">
        <f t="shared" si="15"/>
        <v>46-60</v>
      </c>
    </row>
    <row r="456" spans="1:11" x14ac:dyDescent="0.3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 t="str">
        <f t="shared" si="14"/>
        <v>01/07/2023</v>
      </c>
      <c r="K456" t="str">
        <f t="shared" si="15"/>
        <v>26-35</v>
      </c>
    </row>
    <row r="457" spans="1:11" x14ac:dyDescent="0.3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 t="str">
        <f t="shared" si="14"/>
        <v>14/10/2023</v>
      </c>
      <c r="K457" t="str">
        <f t="shared" si="15"/>
        <v>46-60</v>
      </c>
    </row>
    <row r="458" spans="1:11" x14ac:dyDescent="0.3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 t="str">
        <f t="shared" si="14"/>
        <v>28/07/2023</v>
      </c>
      <c r="K458" t="str">
        <f t="shared" si="15"/>
        <v>46-60</v>
      </c>
    </row>
    <row r="459" spans="1:11" x14ac:dyDescent="0.3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 t="str">
        <f t="shared" si="14"/>
        <v>14/11/2023</v>
      </c>
      <c r="K459" t="str">
        <f t="shared" si="15"/>
        <v>36-45</v>
      </c>
    </row>
    <row r="460" spans="1:11" x14ac:dyDescent="0.3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 t="str">
        <f t="shared" si="14"/>
        <v>21/03/2023</v>
      </c>
      <c r="K460" t="str">
        <f t="shared" si="15"/>
        <v>26-35</v>
      </c>
    </row>
    <row r="461" spans="1:11" x14ac:dyDescent="0.3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 t="str">
        <f t="shared" si="14"/>
        <v>02/05/2023</v>
      </c>
      <c r="K461" t="str">
        <f t="shared" si="15"/>
        <v>36-45</v>
      </c>
    </row>
    <row r="462" spans="1:11" x14ac:dyDescent="0.3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 t="str">
        <f t="shared" si="14"/>
        <v>25/03/2023</v>
      </c>
      <c r="K462" t="str">
        <f t="shared" si="15"/>
        <v>18-25</v>
      </c>
    </row>
    <row r="463" spans="1:11" x14ac:dyDescent="0.3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 t="str">
        <f t="shared" si="14"/>
        <v>01/04/2023</v>
      </c>
      <c r="K463" t="str">
        <f t="shared" si="15"/>
        <v>60+</v>
      </c>
    </row>
    <row r="464" spans="1:11" x14ac:dyDescent="0.3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 t="str">
        <f t="shared" si="14"/>
        <v>31/07/2023</v>
      </c>
      <c r="K464" t="str">
        <f t="shared" si="15"/>
        <v>46-60</v>
      </c>
    </row>
    <row r="465" spans="1:11" x14ac:dyDescent="0.3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 t="str">
        <f t="shared" si="14"/>
        <v>13/01/2023</v>
      </c>
      <c r="K465" t="str">
        <f t="shared" si="15"/>
        <v>36-45</v>
      </c>
    </row>
    <row r="466" spans="1:11" x14ac:dyDescent="0.3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 t="str">
        <f t="shared" si="14"/>
        <v>02/04/2023</v>
      </c>
      <c r="K466" t="str">
        <f t="shared" si="15"/>
        <v>36-45</v>
      </c>
    </row>
    <row r="467" spans="1:11" x14ac:dyDescent="0.3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 t="str">
        <f t="shared" si="14"/>
        <v>20/06/2023</v>
      </c>
      <c r="K467" t="str">
        <f t="shared" si="15"/>
        <v>60+</v>
      </c>
    </row>
    <row r="468" spans="1:11" x14ac:dyDescent="0.3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 t="str">
        <f t="shared" si="14"/>
        <v>30/07/2023</v>
      </c>
      <c r="K468" t="str">
        <f t="shared" si="15"/>
        <v>46-60</v>
      </c>
    </row>
    <row r="469" spans="1:11" x14ac:dyDescent="0.3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 t="str">
        <f t="shared" si="14"/>
        <v>09/12/2023</v>
      </c>
      <c r="K469" t="str">
        <f t="shared" si="15"/>
        <v>36-45</v>
      </c>
    </row>
    <row r="470" spans="1:11" x14ac:dyDescent="0.3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 t="str">
        <f t="shared" si="14"/>
        <v>08/05/2023</v>
      </c>
      <c r="K470" t="str">
        <f t="shared" si="15"/>
        <v>18-25</v>
      </c>
    </row>
    <row r="471" spans="1:11" x14ac:dyDescent="0.3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 t="str">
        <f t="shared" si="14"/>
        <v>17/05/2023</v>
      </c>
      <c r="K471" t="str">
        <f t="shared" si="15"/>
        <v>46-60</v>
      </c>
    </row>
    <row r="472" spans="1:11" x14ac:dyDescent="0.3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 t="str">
        <f t="shared" si="14"/>
        <v>23/03/2023</v>
      </c>
      <c r="K472" t="str">
        <f t="shared" si="15"/>
        <v>26-35</v>
      </c>
    </row>
    <row r="473" spans="1:11" x14ac:dyDescent="0.3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 t="str">
        <f t="shared" si="14"/>
        <v>26/12/2023</v>
      </c>
      <c r="K473" t="str">
        <f t="shared" si="15"/>
        <v>36-45</v>
      </c>
    </row>
    <row r="474" spans="1:11" x14ac:dyDescent="0.3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 t="str">
        <f t="shared" si="14"/>
        <v>25/02/2023</v>
      </c>
      <c r="K474" t="str">
        <f t="shared" si="15"/>
        <v>60+</v>
      </c>
    </row>
    <row r="475" spans="1:11" x14ac:dyDescent="0.3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 t="str">
        <f t="shared" si="14"/>
        <v>15/07/2023</v>
      </c>
      <c r="K475" t="str">
        <f t="shared" si="15"/>
        <v>26-35</v>
      </c>
    </row>
    <row r="476" spans="1:11" x14ac:dyDescent="0.3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 t="str">
        <f t="shared" si="14"/>
        <v>20/01/2023</v>
      </c>
      <c r="K476" t="str">
        <f t="shared" si="15"/>
        <v>26-35</v>
      </c>
    </row>
    <row r="477" spans="1:11" x14ac:dyDescent="0.3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 t="str">
        <f t="shared" si="14"/>
        <v>29/08/2023</v>
      </c>
      <c r="K477" t="str">
        <f t="shared" si="15"/>
        <v>26-35</v>
      </c>
    </row>
    <row r="478" spans="1:11" x14ac:dyDescent="0.3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 t="str">
        <f t="shared" si="14"/>
        <v>24/04/2023</v>
      </c>
      <c r="K478" t="str">
        <f t="shared" si="15"/>
        <v>36-45</v>
      </c>
    </row>
    <row r="479" spans="1:11" x14ac:dyDescent="0.3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 t="str">
        <f t="shared" si="14"/>
        <v>13/04/2023</v>
      </c>
      <c r="K479" t="str">
        <f t="shared" si="15"/>
        <v>46-60</v>
      </c>
    </row>
    <row r="480" spans="1:11" x14ac:dyDescent="0.3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 t="str">
        <f t="shared" si="14"/>
        <v>24/08/2023</v>
      </c>
      <c r="K480" t="str">
        <f t="shared" si="15"/>
        <v>46-60</v>
      </c>
    </row>
    <row r="481" spans="1:11" x14ac:dyDescent="0.3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 t="str">
        <f t="shared" si="14"/>
        <v>29/06/2023</v>
      </c>
      <c r="K481" t="str">
        <f t="shared" si="15"/>
        <v>36-45</v>
      </c>
    </row>
    <row r="482" spans="1:11" x14ac:dyDescent="0.3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 t="str">
        <f t="shared" si="14"/>
        <v>06/06/2023</v>
      </c>
      <c r="K482" t="str">
        <f t="shared" si="15"/>
        <v>36-45</v>
      </c>
    </row>
    <row r="483" spans="1:11" x14ac:dyDescent="0.3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 t="str">
        <f t="shared" si="14"/>
        <v>27/04/2023</v>
      </c>
      <c r="K483" t="str">
        <f t="shared" si="15"/>
        <v>26-35</v>
      </c>
    </row>
    <row r="484" spans="1:11" x14ac:dyDescent="0.3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 t="str">
        <f t="shared" si="14"/>
        <v>25/04/2023</v>
      </c>
      <c r="K484" t="str">
        <f t="shared" si="15"/>
        <v>46-60</v>
      </c>
    </row>
    <row r="485" spans="1:11" x14ac:dyDescent="0.3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 t="str">
        <f t="shared" si="14"/>
        <v>13/01/2023</v>
      </c>
      <c r="K485" t="str">
        <f t="shared" si="15"/>
        <v>18-25</v>
      </c>
    </row>
    <row r="486" spans="1:11" x14ac:dyDescent="0.3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 t="str">
        <f t="shared" si="14"/>
        <v>04/12/2023</v>
      </c>
      <c r="K486" t="str">
        <f t="shared" si="15"/>
        <v>18-25</v>
      </c>
    </row>
    <row r="487" spans="1:11" x14ac:dyDescent="0.3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 t="str">
        <f t="shared" si="14"/>
        <v>09/04/2023</v>
      </c>
      <c r="K487" t="str">
        <f t="shared" si="15"/>
        <v>26-35</v>
      </c>
    </row>
    <row r="488" spans="1:11" x14ac:dyDescent="0.3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 t="str">
        <f t="shared" si="14"/>
        <v>24/07/2023</v>
      </c>
      <c r="K488" t="str">
        <f t="shared" si="15"/>
        <v>36-45</v>
      </c>
    </row>
    <row r="489" spans="1:11" x14ac:dyDescent="0.3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 t="str">
        <f t="shared" si="14"/>
        <v>18/06/2023</v>
      </c>
      <c r="K489" t="str">
        <f t="shared" si="15"/>
        <v>46-60</v>
      </c>
    </row>
    <row r="490" spans="1:11" x14ac:dyDescent="0.3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 t="str">
        <f t="shared" si="14"/>
        <v>23/05/2023</v>
      </c>
      <c r="K490" t="str">
        <f t="shared" si="15"/>
        <v>36-45</v>
      </c>
    </row>
    <row r="491" spans="1:11" x14ac:dyDescent="0.3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 t="str">
        <f t="shared" si="14"/>
        <v>05/02/2023</v>
      </c>
      <c r="K491" t="str">
        <f t="shared" si="15"/>
        <v>26-35</v>
      </c>
    </row>
    <row r="492" spans="1:11" x14ac:dyDescent="0.3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 t="str">
        <f t="shared" si="14"/>
        <v>23/05/2023</v>
      </c>
      <c r="K492" t="str">
        <f t="shared" si="15"/>
        <v>46-60</v>
      </c>
    </row>
    <row r="493" spans="1:11" x14ac:dyDescent="0.3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 t="str">
        <f t="shared" si="14"/>
        <v>29/06/2023</v>
      </c>
      <c r="K493" t="str">
        <f t="shared" si="15"/>
        <v>60+</v>
      </c>
    </row>
    <row r="494" spans="1:11" x14ac:dyDescent="0.3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 t="str">
        <f t="shared" si="14"/>
        <v>25/11/2023</v>
      </c>
      <c r="K494" t="str">
        <f t="shared" si="15"/>
        <v>36-45</v>
      </c>
    </row>
    <row r="495" spans="1:11" x14ac:dyDescent="0.3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 t="str">
        <f t="shared" si="14"/>
        <v>18/09/2023</v>
      </c>
      <c r="K495" t="str">
        <f t="shared" si="15"/>
        <v>36-45</v>
      </c>
    </row>
    <row r="496" spans="1:11" x14ac:dyDescent="0.3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 t="str">
        <f t="shared" si="14"/>
        <v>24/07/2023</v>
      </c>
      <c r="K496" t="str">
        <f t="shared" si="15"/>
        <v>18-25</v>
      </c>
    </row>
    <row r="497" spans="1:11" x14ac:dyDescent="0.3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 t="str">
        <f t="shared" si="14"/>
        <v>14/12/2023</v>
      </c>
      <c r="K497" t="str">
        <f t="shared" si="15"/>
        <v>18-25</v>
      </c>
    </row>
    <row r="498" spans="1:11" x14ac:dyDescent="0.3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 t="str">
        <f t="shared" si="14"/>
        <v>02/10/2023</v>
      </c>
      <c r="K498" t="str">
        <f t="shared" si="15"/>
        <v>36-45</v>
      </c>
    </row>
    <row r="499" spans="1:11" x14ac:dyDescent="0.3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 t="str">
        <f t="shared" si="14"/>
        <v>19/06/2023</v>
      </c>
      <c r="K499" t="str">
        <f t="shared" si="15"/>
        <v>46-60</v>
      </c>
    </row>
    <row r="500" spans="1:11" x14ac:dyDescent="0.3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 t="str">
        <f t="shared" si="14"/>
        <v>15/01/2023</v>
      </c>
      <c r="K500" t="str">
        <f t="shared" si="15"/>
        <v>46-60</v>
      </c>
    </row>
    <row r="501" spans="1:11" x14ac:dyDescent="0.3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 t="str">
        <f t="shared" si="14"/>
        <v>01/03/2023</v>
      </c>
      <c r="K501" t="str">
        <f t="shared" si="15"/>
        <v>46-60</v>
      </c>
    </row>
    <row r="502" spans="1:11" x14ac:dyDescent="0.3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 t="str">
        <f t="shared" si="14"/>
        <v>14/05/2023</v>
      </c>
      <c r="K502" t="str">
        <f t="shared" si="15"/>
        <v>36-45</v>
      </c>
    </row>
    <row r="503" spans="1:11" x14ac:dyDescent="0.3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 t="str">
        <f t="shared" si="14"/>
        <v>02/04/2023</v>
      </c>
      <c r="K503" t="str">
        <f t="shared" si="15"/>
        <v>36-45</v>
      </c>
    </row>
    <row r="504" spans="1:11" x14ac:dyDescent="0.3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 t="str">
        <f t="shared" si="14"/>
        <v>25/10/2023</v>
      </c>
      <c r="K504" t="str">
        <f t="shared" si="15"/>
        <v>36-45</v>
      </c>
    </row>
    <row r="505" spans="1:11" x14ac:dyDescent="0.3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 t="str">
        <f t="shared" si="14"/>
        <v>16/05/2023</v>
      </c>
      <c r="K505" t="str">
        <f t="shared" si="15"/>
        <v>36-45</v>
      </c>
    </row>
    <row r="506" spans="1:11" x14ac:dyDescent="0.3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 t="str">
        <f t="shared" si="14"/>
        <v>20/01/2023</v>
      </c>
      <c r="K506" t="str">
        <f t="shared" si="15"/>
        <v>18-25</v>
      </c>
    </row>
    <row r="507" spans="1:11" x14ac:dyDescent="0.3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 t="str">
        <f t="shared" si="14"/>
        <v>25/02/2023</v>
      </c>
      <c r="K507" t="str">
        <f t="shared" si="15"/>
        <v>26-35</v>
      </c>
    </row>
    <row r="508" spans="1:11" x14ac:dyDescent="0.3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 t="str">
        <f t="shared" si="14"/>
        <v>02/11/2023</v>
      </c>
      <c r="K508" t="str">
        <f t="shared" si="15"/>
        <v>36-45</v>
      </c>
    </row>
    <row r="509" spans="1:11" x14ac:dyDescent="0.3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 t="str">
        <f t="shared" si="14"/>
        <v>11/08/2023</v>
      </c>
      <c r="K509" t="str">
        <f t="shared" si="15"/>
        <v>46-60</v>
      </c>
    </row>
    <row r="510" spans="1:11" x14ac:dyDescent="0.3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 t="str">
        <f t="shared" si="14"/>
        <v>26/06/2023</v>
      </c>
      <c r="K510" t="str">
        <f t="shared" si="15"/>
        <v>36-45</v>
      </c>
    </row>
    <row r="511" spans="1:11" x14ac:dyDescent="0.3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 t="str">
        <f t="shared" si="14"/>
        <v>10/06/2023</v>
      </c>
      <c r="K511" t="str">
        <f t="shared" si="15"/>
        <v>36-45</v>
      </c>
    </row>
    <row r="512" spans="1:11" x14ac:dyDescent="0.3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 t="str">
        <f t="shared" si="14"/>
        <v>12/08/2023</v>
      </c>
      <c r="K512" t="str">
        <f t="shared" si="15"/>
        <v>36-45</v>
      </c>
    </row>
    <row r="513" spans="1:11" x14ac:dyDescent="0.3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 t="str">
        <f t="shared" si="14"/>
        <v>07/11/2023</v>
      </c>
      <c r="K513" t="str">
        <f t="shared" si="15"/>
        <v>46-60</v>
      </c>
    </row>
    <row r="514" spans="1:11" x14ac:dyDescent="0.3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 t="str">
        <f t="shared" si="14"/>
        <v>19/09/2023</v>
      </c>
      <c r="K514" t="str">
        <f t="shared" si="15"/>
        <v>18-25</v>
      </c>
    </row>
    <row r="515" spans="1:11" x14ac:dyDescent="0.3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 t="str">
        <f t="shared" ref="J515:J578" si="16">TEXT(B515,"dd/mm/yyyy")</f>
        <v>01/03/2023</v>
      </c>
      <c r="K515" t="str">
        <f t="shared" ref="K515:K578" si="17">IF(E515&lt;18,"Under 18",IF(E515&lt;=25,"18-25",IF(E515&lt;=35,"26-35",IF(E515&lt;=45,"36-45",IF(E515&lt;=60,"46-60","60+")))))</f>
        <v>18-25</v>
      </c>
    </row>
    <row r="516" spans="1:11" x14ac:dyDescent="0.3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 t="str">
        <f t="shared" si="16"/>
        <v>17/07/2023</v>
      </c>
      <c r="K516" t="str">
        <f t="shared" si="17"/>
        <v>46-60</v>
      </c>
    </row>
    <row r="517" spans="1:11" x14ac:dyDescent="0.3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 t="str">
        <f t="shared" si="16"/>
        <v>23/10/2023</v>
      </c>
      <c r="K517" t="str">
        <f t="shared" si="17"/>
        <v>26-35</v>
      </c>
    </row>
    <row r="518" spans="1:11" x14ac:dyDescent="0.3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 t="str">
        <f t="shared" si="16"/>
        <v>08/04/2023</v>
      </c>
      <c r="K518" t="str">
        <f t="shared" si="17"/>
        <v>46-60</v>
      </c>
    </row>
    <row r="519" spans="1:11" x14ac:dyDescent="0.3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 t="str">
        <f t="shared" si="16"/>
        <v>11/05/2023</v>
      </c>
      <c r="K519" t="str">
        <f t="shared" si="17"/>
        <v>36-45</v>
      </c>
    </row>
    <row r="520" spans="1:11" x14ac:dyDescent="0.3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 t="str">
        <f t="shared" si="16"/>
        <v>23/01/2023</v>
      </c>
      <c r="K520" t="str">
        <f t="shared" si="17"/>
        <v>36-45</v>
      </c>
    </row>
    <row r="521" spans="1:11" x14ac:dyDescent="0.3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 t="str">
        <f t="shared" si="16"/>
        <v>29/12/2023</v>
      </c>
      <c r="K521" t="str">
        <f t="shared" si="17"/>
        <v>46-60</v>
      </c>
    </row>
    <row r="522" spans="1:11" x14ac:dyDescent="0.3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 t="str">
        <f t="shared" si="16"/>
        <v>12/08/2023</v>
      </c>
      <c r="K522" t="str">
        <f t="shared" si="17"/>
        <v>46-60</v>
      </c>
    </row>
    <row r="523" spans="1:11" x14ac:dyDescent="0.3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 t="str">
        <f t="shared" si="16"/>
        <v>01/01/2023</v>
      </c>
      <c r="K523" t="str">
        <f t="shared" si="17"/>
        <v>46-60</v>
      </c>
    </row>
    <row r="524" spans="1:11" x14ac:dyDescent="0.3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 t="str">
        <f t="shared" si="16"/>
        <v>24/09/2023</v>
      </c>
      <c r="K524" t="str">
        <f t="shared" si="17"/>
        <v>60+</v>
      </c>
    </row>
    <row r="525" spans="1:11" x14ac:dyDescent="0.3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 t="str">
        <f t="shared" si="16"/>
        <v>03/10/2023</v>
      </c>
      <c r="K525" t="str">
        <f t="shared" si="17"/>
        <v>46-60</v>
      </c>
    </row>
    <row r="526" spans="1:11" x14ac:dyDescent="0.3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 t="str">
        <f t="shared" si="16"/>
        <v>18/12/2023</v>
      </c>
      <c r="K526" t="str">
        <f t="shared" si="17"/>
        <v>46-60</v>
      </c>
    </row>
    <row r="527" spans="1:11" x14ac:dyDescent="0.3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 t="str">
        <f t="shared" si="16"/>
        <v>10/12/2023</v>
      </c>
      <c r="K527" t="str">
        <f t="shared" si="17"/>
        <v>26-35</v>
      </c>
    </row>
    <row r="528" spans="1:11" x14ac:dyDescent="0.3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 t="str">
        <f t="shared" si="16"/>
        <v>11/04/2023</v>
      </c>
      <c r="K528" t="str">
        <f t="shared" si="17"/>
        <v>46-60</v>
      </c>
    </row>
    <row r="529" spans="1:11" x14ac:dyDescent="0.3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 t="str">
        <f t="shared" si="16"/>
        <v>06/07/2023</v>
      </c>
      <c r="K529" t="str">
        <f t="shared" si="17"/>
        <v>36-45</v>
      </c>
    </row>
    <row r="530" spans="1:11" x14ac:dyDescent="0.3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 t="str">
        <f t="shared" si="16"/>
        <v>09/08/2023</v>
      </c>
      <c r="K530" t="str">
        <f t="shared" si="17"/>
        <v>26-35</v>
      </c>
    </row>
    <row r="531" spans="1:11" x14ac:dyDescent="0.3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 t="str">
        <f t="shared" si="16"/>
        <v>05/02/2023</v>
      </c>
      <c r="K531" t="str">
        <f t="shared" si="17"/>
        <v>18-25</v>
      </c>
    </row>
    <row r="532" spans="1:11" x14ac:dyDescent="0.3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 t="str">
        <f t="shared" si="16"/>
        <v>07/12/2023</v>
      </c>
      <c r="K532" t="str">
        <f t="shared" si="17"/>
        <v>26-35</v>
      </c>
    </row>
    <row r="533" spans="1:11" x14ac:dyDescent="0.3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 t="str">
        <f t="shared" si="16"/>
        <v>19/06/2023</v>
      </c>
      <c r="K533" t="str">
        <f t="shared" si="17"/>
        <v>60+</v>
      </c>
    </row>
    <row r="534" spans="1:11" x14ac:dyDescent="0.3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 t="str">
        <f t="shared" si="16"/>
        <v>16/11/2023</v>
      </c>
      <c r="K534" t="str">
        <f t="shared" si="17"/>
        <v>18-25</v>
      </c>
    </row>
    <row r="535" spans="1:11" x14ac:dyDescent="0.3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 t="str">
        <f t="shared" si="16"/>
        <v>10/06/2023</v>
      </c>
      <c r="K535" t="str">
        <f t="shared" si="17"/>
        <v>36-45</v>
      </c>
    </row>
    <row r="536" spans="1:11" x14ac:dyDescent="0.3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 t="str">
        <f t="shared" si="16"/>
        <v>06/12/2023</v>
      </c>
      <c r="K536" t="str">
        <f t="shared" si="17"/>
        <v>46-60</v>
      </c>
    </row>
    <row r="537" spans="1:11" x14ac:dyDescent="0.3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 t="str">
        <f t="shared" si="16"/>
        <v>05/03/2023</v>
      </c>
      <c r="K537" t="str">
        <f t="shared" si="17"/>
        <v>46-60</v>
      </c>
    </row>
    <row r="538" spans="1:11" x14ac:dyDescent="0.3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 t="str">
        <f t="shared" si="16"/>
        <v>03/06/2023</v>
      </c>
      <c r="K538" t="str">
        <f t="shared" si="17"/>
        <v>18-25</v>
      </c>
    </row>
    <row r="539" spans="1:11" x14ac:dyDescent="0.3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 t="str">
        <f t="shared" si="16"/>
        <v>17/09/2023</v>
      </c>
      <c r="K539" t="str">
        <f t="shared" si="17"/>
        <v>18-25</v>
      </c>
    </row>
    <row r="540" spans="1:11" x14ac:dyDescent="0.3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 t="str">
        <f t="shared" si="16"/>
        <v>08/06/2023</v>
      </c>
      <c r="K540" t="str">
        <f t="shared" si="17"/>
        <v>18-25</v>
      </c>
    </row>
    <row r="541" spans="1:11" x14ac:dyDescent="0.3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 t="str">
        <f t="shared" si="16"/>
        <v>08/12/2023</v>
      </c>
      <c r="K541" t="str">
        <f t="shared" si="17"/>
        <v>46-60</v>
      </c>
    </row>
    <row r="542" spans="1:11" x14ac:dyDescent="0.3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 t="str">
        <f t="shared" si="16"/>
        <v>29/07/2023</v>
      </c>
      <c r="K542" t="str">
        <f t="shared" si="17"/>
        <v>46-60</v>
      </c>
    </row>
    <row r="543" spans="1:11" x14ac:dyDescent="0.3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 t="str">
        <f t="shared" si="16"/>
        <v>17/06/2023</v>
      </c>
      <c r="K543" t="str">
        <f t="shared" si="17"/>
        <v>18-25</v>
      </c>
    </row>
    <row r="544" spans="1:11" x14ac:dyDescent="0.3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 t="str">
        <f t="shared" si="16"/>
        <v>26/07/2023</v>
      </c>
      <c r="K544" t="str">
        <f t="shared" si="17"/>
        <v>46-60</v>
      </c>
    </row>
    <row r="545" spans="1:11" x14ac:dyDescent="0.3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 t="str">
        <f t="shared" si="16"/>
        <v>23/12/2023</v>
      </c>
      <c r="K545" t="str">
        <f t="shared" si="17"/>
        <v>26-35</v>
      </c>
    </row>
    <row r="546" spans="1:11" x14ac:dyDescent="0.3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 t="str">
        <f t="shared" si="16"/>
        <v>01/06/2023</v>
      </c>
      <c r="K546" t="str">
        <f t="shared" si="17"/>
        <v>26-35</v>
      </c>
    </row>
    <row r="547" spans="1:11" x14ac:dyDescent="0.3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 t="str">
        <f t="shared" si="16"/>
        <v>11/10/2023</v>
      </c>
      <c r="K547" t="str">
        <f t="shared" si="17"/>
        <v>36-45</v>
      </c>
    </row>
    <row r="548" spans="1:11" x14ac:dyDescent="0.3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 t="str">
        <f t="shared" si="16"/>
        <v>07/03/2023</v>
      </c>
      <c r="K548" t="str">
        <f t="shared" si="17"/>
        <v>60+</v>
      </c>
    </row>
    <row r="549" spans="1:11" x14ac:dyDescent="0.3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 t="str">
        <f t="shared" si="16"/>
        <v>09/04/2023</v>
      </c>
      <c r="K549" t="str">
        <f t="shared" si="17"/>
        <v>46-60</v>
      </c>
    </row>
    <row r="550" spans="1:11" x14ac:dyDescent="0.3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 t="str">
        <f t="shared" si="16"/>
        <v>04/08/2023</v>
      </c>
      <c r="K550" t="str">
        <f t="shared" si="17"/>
        <v>46-60</v>
      </c>
    </row>
    <row r="551" spans="1:11" x14ac:dyDescent="0.3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 t="str">
        <f t="shared" si="16"/>
        <v>07/12/2023</v>
      </c>
      <c r="K551" t="str">
        <f t="shared" si="17"/>
        <v>36-45</v>
      </c>
    </row>
    <row r="552" spans="1:11" x14ac:dyDescent="0.3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 t="str">
        <f t="shared" si="16"/>
        <v>14/07/2023</v>
      </c>
      <c r="K552" t="str">
        <f t="shared" si="17"/>
        <v>36-45</v>
      </c>
    </row>
    <row r="553" spans="1:11" x14ac:dyDescent="0.3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 t="str">
        <f t="shared" si="16"/>
        <v>13/12/2023</v>
      </c>
      <c r="K553" t="str">
        <f t="shared" si="17"/>
        <v>46-60</v>
      </c>
    </row>
    <row r="554" spans="1:11" x14ac:dyDescent="0.3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 t="str">
        <f t="shared" si="16"/>
        <v>31/03/2023</v>
      </c>
      <c r="K554" t="str">
        <f t="shared" si="17"/>
        <v>18-25</v>
      </c>
    </row>
    <row r="555" spans="1:11" x14ac:dyDescent="0.3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 t="str">
        <f t="shared" si="16"/>
        <v>12/11/2023</v>
      </c>
      <c r="K555" t="str">
        <f t="shared" si="17"/>
        <v>46-60</v>
      </c>
    </row>
    <row r="556" spans="1:11" x14ac:dyDescent="0.3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 t="str">
        <f t="shared" si="16"/>
        <v>19/10/2023</v>
      </c>
      <c r="K556" t="str">
        <f t="shared" si="17"/>
        <v>18-25</v>
      </c>
    </row>
    <row r="557" spans="1:11" x14ac:dyDescent="0.3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 t="str">
        <f t="shared" si="16"/>
        <v>04/06/2023</v>
      </c>
      <c r="K557" t="str">
        <f t="shared" si="17"/>
        <v>18-25</v>
      </c>
    </row>
    <row r="558" spans="1:11" x14ac:dyDescent="0.3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 t="str">
        <f t="shared" si="16"/>
        <v>27/07/2023</v>
      </c>
      <c r="K558" t="str">
        <f t="shared" si="17"/>
        <v>18-25</v>
      </c>
    </row>
    <row r="559" spans="1:11" x14ac:dyDescent="0.3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 t="str">
        <f t="shared" si="16"/>
        <v>08/10/2023</v>
      </c>
      <c r="K559" t="str">
        <f t="shared" si="17"/>
        <v>36-45</v>
      </c>
    </row>
    <row r="560" spans="1:11" x14ac:dyDescent="0.3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 t="str">
        <f t="shared" si="16"/>
        <v>01/01/2023</v>
      </c>
      <c r="K560" t="str">
        <f t="shared" si="17"/>
        <v>36-45</v>
      </c>
    </row>
    <row r="561" spans="1:11" x14ac:dyDescent="0.3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 t="str">
        <f t="shared" si="16"/>
        <v>05/06/2023</v>
      </c>
      <c r="K561" t="str">
        <f t="shared" si="17"/>
        <v>18-25</v>
      </c>
    </row>
    <row r="562" spans="1:11" x14ac:dyDescent="0.3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 t="str">
        <f t="shared" si="16"/>
        <v>27/05/2023</v>
      </c>
      <c r="K562" t="str">
        <f t="shared" si="17"/>
        <v>60+</v>
      </c>
    </row>
    <row r="563" spans="1:11" x14ac:dyDescent="0.3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 t="str">
        <f t="shared" si="16"/>
        <v>18/04/2023</v>
      </c>
      <c r="K563" t="str">
        <f t="shared" si="17"/>
        <v>46-60</v>
      </c>
    </row>
    <row r="564" spans="1:11" x14ac:dyDescent="0.3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 t="str">
        <f t="shared" si="16"/>
        <v>09/08/2023</v>
      </c>
      <c r="K564" t="str">
        <f t="shared" si="17"/>
        <v>18-25</v>
      </c>
    </row>
    <row r="565" spans="1:11" x14ac:dyDescent="0.3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 t="str">
        <f t="shared" si="16"/>
        <v>24/10/2023</v>
      </c>
      <c r="K565" t="str">
        <f t="shared" si="17"/>
        <v>46-60</v>
      </c>
    </row>
    <row r="566" spans="1:11" x14ac:dyDescent="0.3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 t="str">
        <f t="shared" si="16"/>
        <v>07/11/2023</v>
      </c>
      <c r="K566" t="str">
        <f t="shared" si="17"/>
        <v>36-45</v>
      </c>
    </row>
    <row r="567" spans="1:11" x14ac:dyDescent="0.3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 t="str">
        <f t="shared" si="16"/>
        <v>02/12/2023</v>
      </c>
      <c r="K567" t="str">
        <f t="shared" si="17"/>
        <v>60+</v>
      </c>
    </row>
    <row r="568" spans="1:11" x14ac:dyDescent="0.3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 t="str">
        <f t="shared" si="16"/>
        <v>14/06/2023</v>
      </c>
      <c r="K568" t="str">
        <f t="shared" si="17"/>
        <v>18-25</v>
      </c>
    </row>
    <row r="569" spans="1:11" x14ac:dyDescent="0.3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 t="str">
        <f t="shared" si="16"/>
        <v>27/08/2023</v>
      </c>
      <c r="K569" t="str">
        <f t="shared" si="17"/>
        <v>46-60</v>
      </c>
    </row>
    <row r="570" spans="1:11" x14ac:dyDescent="0.3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 t="str">
        <f t="shared" si="16"/>
        <v>15/08/2023</v>
      </c>
      <c r="K570" t="str">
        <f t="shared" si="17"/>
        <v>46-60</v>
      </c>
    </row>
    <row r="571" spans="1:11" x14ac:dyDescent="0.3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 t="str">
        <f t="shared" si="16"/>
        <v>15/08/2023</v>
      </c>
      <c r="K571" t="str">
        <f t="shared" si="17"/>
        <v>46-60</v>
      </c>
    </row>
    <row r="572" spans="1:11" x14ac:dyDescent="0.3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 t="str">
        <f t="shared" si="16"/>
        <v>12/12/2023</v>
      </c>
      <c r="K572" t="str">
        <f t="shared" si="17"/>
        <v>36-45</v>
      </c>
    </row>
    <row r="573" spans="1:11" x14ac:dyDescent="0.3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 t="str">
        <f t="shared" si="16"/>
        <v>20/04/2023</v>
      </c>
      <c r="K573" t="str">
        <f t="shared" si="17"/>
        <v>26-35</v>
      </c>
    </row>
    <row r="574" spans="1:11" x14ac:dyDescent="0.3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 t="str">
        <f t="shared" si="16"/>
        <v>19/09/2023</v>
      </c>
      <c r="K574" t="str">
        <f t="shared" si="17"/>
        <v>46-60</v>
      </c>
    </row>
    <row r="575" spans="1:11" x14ac:dyDescent="0.3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 t="str">
        <f t="shared" si="16"/>
        <v>31/08/2023</v>
      </c>
      <c r="K575" t="str">
        <f t="shared" si="17"/>
        <v>60+</v>
      </c>
    </row>
    <row r="576" spans="1:11" x14ac:dyDescent="0.3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 t="str">
        <f t="shared" si="16"/>
        <v>28/03/2023</v>
      </c>
      <c r="K576" t="str">
        <f t="shared" si="17"/>
        <v>46-60</v>
      </c>
    </row>
    <row r="577" spans="1:11" x14ac:dyDescent="0.3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 t="str">
        <f t="shared" si="16"/>
        <v>04/12/2023</v>
      </c>
      <c r="K577" t="str">
        <f t="shared" si="17"/>
        <v>26-35</v>
      </c>
    </row>
    <row r="578" spans="1:11" x14ac:dyDescent="0.3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 t="str">
        <f t="shared" si="16"/>
        <v>13/02/2023</v>
      </c>
      <c r="K578" t="str">
        <f t="shared" si="17"/>
        <v>18-25</v>
      </c>
    </row>
    <row r="579" spans="1:11" x14ac:dyDescent="0.3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 t="str">
        <f t="shared" ref="J579:J642" si="18">TEXT(B579,"dd/mm/yyyy")</f>
        <v>26/05/2023</v>
      </c>
      <c r="K579" t="str">
        <f t="shared" ref="K579:K642" si="19">IF(E579&lt;18,"Under 18",IF(E579&lt;=25,"18-25",IF(E579&lt;=35,"26-35",IF(E579&lt;=45,"36-45",IF(E579&lt;=60,"46-60","60+")))))</f>
        <v>46-60</v>
      </c>
    </row>
    <row r="580" spans="1:11" x14ac:dyDescent="0.3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 t="str">
        <f t="shared" si="18"/>
        <v>21/09/2023</v>
      </c>
      <c r="K580" t="str">
        <f t="shared" si="19"/>
        <v>36-45</v>
      </c>
    </row>
    <row r="581" spans="1:11" x14ac:dyDescent="0.3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 t="str">
        <f t="shared" si="18"/>
        <v>06/12/2023</v>
      </c>
      <c r="K581" t="str">
        <f t="shared" si="19"/>
        <v>26-35</v>
      </c>
    </row>
    <row r="582" spans="1:11" x14ac:dyDescent="0.3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 t="str">
        <f t="shared" si="18"/>
        <v>21/11/2023</v>
      </c>
      <c r="K582" t="str">
        <f t="shared" si="19"/>
        <v>46-60</v>
      </c>
    </row>
    <row r="583" spans="1:11" x14ac:dyDescent="0.3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 t="str">
        <f t="shared" si="18"/>
        <v>14/11/2023</v>
      </c>
      <c r="K583" t="str">
        <f t="shared" si="19"/>
        <v>26-35</v>
      </c>
    </row>
    <row r="584" spans="1:11" x14ac:dyDescent="0.3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 t="str">
        <f t="shared" si="18"/>
        <v>21/06/2023</v>
      </c>
      <c r="K584" t="str">
        <f t="shared" si="19"/>
        <v>18-25</v>
      </c>
    </row>
    <row r="585" spans="1:11" x14ac:dyDescent="0.3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 t="str">
        <f t="shared" si="18"/>
        <v>17/02/2023</v>
      </c>
      <c r="K585" t="str">
        <f t="shared" si="19"/>
        <v>26-35</v>
      </c>
    </row>
    <row r="586" spans="1:11" x14ac:dyDescent="0.3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 t="str">
        <f t="shared" si="18"/>
        <v>01/05/2023</v>
      </c>
      <c r="K586" t="str">
        <f t="shared" si="19"/>
        <v>18-25</v>
      </c>
    </row>
    <row r="587" spans="1:11" x14ac:dyDescent="0.3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 t="str">
        <f t="shared" si="18"/>
        <v>11/12/2023</v>
      </c>
      <c r="K587" t="str">
        <f t="shared" si="19"/>
        <v>46-60</v>
      </c>
    </row>
    <row r="588" spans="1:11" x14ac:dyDescent="0.3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 t="str">
        <f t="shared" si="18"/>
        <v>08/06/2023</v>
      </c>
      <c r="K588" t="str">
        <f t="shared" si="19"/>
        <v>36-45</v>
      </c>
    </row>
    <row r="589" spans="1:11" x14ac:dyDescent="0.3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 t="str">
        <f t="shared" si="18"/>
        <v>26/04/2023</v>
      </c>
      <c r="K589" t="str">
        <f t="shared" si="19"/>
        <v>36-45</v>
      </c>
    </row>
    <row r="590" spans="1:11" x14ac:dyDescent="0.3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 t="str">
        <f t="shared" si="18"/>
        <v>12/04/2023</v>
      </c>
      <c r="K590" t="str">
        <f t="shared" si="19"/>
        <v>36-45</v>
      </c>
    </row>
    <row r="591" spans="1:11" x14ac:dyDescent="0.3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 t="str">
        <f t="shared" si="18"/>
        <v>17/03/2023</v>
      </c>
      <c r="K591" t="str">
        <f t="shared" si="19"/>
        <v>36-45</v>
      </c>
    </row>
    <row r="592" spans="1:11" x14ac:dyDescent="0.3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 t="str">
        <f t="shared" si="18"/>
        <v>13/01/2023</v>
      </c>
      <c r="K592" t="str">
        <f t="shared" si="19"/>
        <v>46-60</v>
      </c>
    </row>
    <row r="593" spans="1:11" x14ac:dyDescent="0.3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 t="str">
        <f t="shared" si="18"/>
        <v>24/01/2023</v>
      </c>
      <c r="K593" t="str">
        <f t="shared" si="19"/>
        <v>46-60</v>
      </c>
    </row>
    <row r="594" spans="1:11" x14ac:dyDescent="0.3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 t="str">
        <f t="shared" si="18"/>
        <v>06/05/2023</v>
      </c>
      <c r="K594" t="str">
        <f t="shared" si="19"/>
        <v>26-35</v>
      </c>
    </row>
    <row r="595" spans="1:11" x14ac:dyDescent="0.3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 t="str">
        <f t="shared" si="18"/>
        <v>01/09/2023</v>
      </c>
      <c r="K595" t="str">
        <f t="shared" si="19"/>
        <v>18-25</v>
      </c>
    </row>
    <row r="596" spans="1:11" x14ac:dyDescent="0.3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 t="str">
        <f t="shared" si="18"/>
        <v>09/11/2023</v>
      </c>
      <c r="K596" t="str">
        <f t="shared" si="19"/>
        <v>18-25</v>
      </c>
    </row>
    <row r="597" spans="1:11" x14ac:dyDescent="0.3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 t="str">
        <f t="shared" si="18"/>
        <v>07/02/2023</v>
      </c>
      <c r="K597" t="str">
        <f t="shared" si="19"/>
        <v>60+</v>
      </c>
    </row>
    <row r="598" spans="1:11" x14ac:dyDescent="0.3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 t="str">
        <f t="shared" si="18"/>
        <v>22/08/2023</v>
      </c>
      <c r="K598" t="str">
        <f t="shared" si="19"/>
        <v>18-25</v>
      </c>
    </row>
    <row r="599" spans="1:11" x14ac:dyDescent="0.3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 t="str">
        <f t="shared" si="18"/>
        <v>01/08/2023</v>
      </c>
      <c r="K599" t="str">
        <f t="shared" si="19"/>
        <v>36-45</v>
      </c>
    </row>
    <row r="600" spans="1:11" x14ac:dyDescent="0.3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 t="str">
        <f t="shared" si="18"/>
        <v>19/11/2023</v>
      </c>
      <c r="K600" t="str">
        <f t="shared" si="19"/>
        <v>26-35</v>
      </c>
    </row>
    <row r="601" spans="1:11" x14ac:dyDescent="0.3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 t="str">
        <f t="shared" si="18"/>
        <v>22/10/2023</v>
      </c>
      <c r="K601" t="str">
        <f t="shared" si="19"/>
        <v>46-60</v>
      </c>
    </row>
    <row r="602" spans="1:11" x14ac:dyDescent="0.3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 t="str">
        <f t="shared" si="18"/>
        <v>10/04/2023</v>
      </c>
      <c r="K602" t="str">
        <f t="shared" si="19"/>
        <v>18-25</v>
      </c>
    </row>
    <row r="603" spans="1:11" x14ac:dyDescent="0.3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 t="str">
        <f t="shared" si="18"/>
        <v>23/12/2023</v>
      </c>
      <c r="K603" t="str">
        <f t="shared" si="19"/>
        <v>18-25</v>
      </c>
    </row>
    <row r="604" spans="1:11" x14ac:dyDescent="0.3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 t="str">
        <f t="shared" si="18"/>
        <v>16/07/2023</v>
      </c>
      <c r="K604" t="str">
        <f t="shared" si="19"/>
        <v>36-45</v>
      </c>
    </row>
    <row r="605" spans="1:11" x14ac:dyDescent="0.3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 t="str">
        <f t="shared" si="18"/>
        <v>11/09/2023</v>
      </c>
      <c r="K605" t="str">
        <f t="shared" si="19"/>
        <v>26-35</v>
      </c>
    </row>
    <row r="606" spans="1:11" x14ac:dyDescent="0.3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 t="str">
        <f t="shared" si="18"/>
        <v>24/07/2023</v>
      </c>
      <c r="K606" t="str">
        <f t="shared" si="19"/>
        <v>36-45</v>
      </c>
    </row>
    <row r="607" spans="1:11" x14ac:dyDescent="0.3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 t="str">
        <f t="shared" si="18"/>
        <v>05/05/2023</v>
      </c>
      <c r="K607" t="str">
        <f t="shared" si="19"/>
        <v>18-25</v>
      </c>
    </row>
    <row r="608" spans="1:11" x14ac:dyDescent="0.3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 t="str">
        <f t="shared" si="18"/>
        <v>17/03/2023</v>
      </c>
      <c r="K608" t="str">
        <f t="shared" si="19"/>
        <v>46-60</v>
      </c>
    </row>
    <row r="609" spans="1:11" x14ac:dyDescent="0.3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 t="str">
        <f t="shared" si="18"/>
        <v>02/12/2023</v>
      </c>
      <c r="K609" t="str">
        <f t="shared" si="19"/>
        <v>46-60</v>
      </c>
    </row>
    <row r="610" spans="1:11" x14ac:dyDescent="0.3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 t="str">
        <f t="shared" si="18"/>
        <v>19/12/2023</v>
      </c>
      <c r="K610" t="str">
        <f t="shared" si="19"/>
        <v>46-60</v>
      </c>
    </row>
    <row r="611" spans="1:11" x14ac:dyDescent="0.3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 t="str">
        <f t="shared" si="18"/>
        <v>03/01/2023</v>
      </c>
      <c r="K611" t="str">
        <f t="shared" si="19"/>
        <v>26-35</v>
      </c>
    </row>
    <row r="612" spans="1:11" x14ac:dyDescent="0.3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 t="str">
        <f t="shared" si="18"/>
        <v>24/02/2023</v>
      </c>
      <c r="K612" t="str">
        <f t="shared" si="19"/>
        <v>46-60</v>
      </c>
    </row>
    <row r="613" spans="1:11" x14ac:dyDescent="0.3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 t="str">
        <f t="shared" si="18"/>
        <v>06/08/2023</v>
      </c>
      <c r="K613" t="str">
        <f t="shared" si="19"/>
        <v>60+</v>
      </c>
    </row>
    <row r="614" spans="1:11" x14ac:dyDescent="0.3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 t="str">
        <f t="shared" si="18"/>
        <v>23/04/2023</v>
      </c>
      <c r="K614" t="str">
        <f t="shared" si="19"/>
        <v>46-60</v>
      </c>
    </row>
    <row r="615" spans="1:11" x14ac:dyDescent="0.3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 t="str">
        <f t="shared" si="18"/>
        <v>01/04/2023</v>
      </c>
      <c r="K615" t="str">
        <f t="shared" si="19"/>
        <v>36-45</v>
      </c>
    </row>
    <row r="616" spans="1:11" x14ac:dyDescent="0.3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 t="str">
        <f t="shared" si="18"/>
        <v>23/12/2023</v>
      </c>
      <c r="K616" t="str">
        <f t="shared" si="19"/>
        <v>60+</v>
      </c>
    </row>
    <row r="617" spans="1:11" x14ac:dyDescent="0.3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 t="str">
        <f t="shared" si="18"/>
        <v>23/09/2023</v>
      </c>
      <c r="K617" t="str">
        <f t="shared" si="19"/>
        <v>36-45</v>
      </c>
    </row>
    <row r="618" spans="1:11" x14ac:dyDescent="0.3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 t="str">
        <f t="shared" si="18"/>
        <v>26/08/2023</v>
      </c>
      <c r="K618" t="str">
        <f t="shared" si="19"/>
        <v>26-35</v>
      </c>
    </row>
    <row r="619" spans="1:11" x14ac:dyDescent="0.3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 t="str">
        <f t="shared" si="18"/>
        <v>26/01/2023</v>
      </c>
      <c r="K619" t="str">
        <f t="shared" si="19"/>
        <v>26-35</v>
      </c>
    </row>
    <row r="620" spans="1:11" x14ac:dyDescent="0.3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 t="str">
        <f t="shared" si="18"/>
        <v>13/10/2023</v>
      </c>
      <c r="K620" t="str">
        <f t="shared" si="19"/>
        <v>46-60</v>
      </c>
    </row>
    <row r="621" spans="1:11" x14ac:dyDescent="0.3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 t="str">
        <f t="shared" si="18"/>
        <v>08/05/2023</v>
      </c>
      <c r="K621" t="str">
        <f t="shared" si="19"/>
        <v>60+</v>
      </c>
    </row>
    <row r="622" spans="1:11" x14ac:dyDescent="0.3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 t="str">
        <f t="shared" si="18"/>
        <v>04/03/2023</v>
      </c>
      <c r="K622" t="str">
        <f t="shared" si="19"/>
        <v>36-45</v>
      </c>
    </row>
    <row r="623" spans="1:11" x14ac:dyDescent="0.3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 t="str">
        <f t="shared" si="18"/>
        <v>22/08/2023</v>
      </c>
      <c r="K623" t="str">
        <f t="shared" si="19"/>
        <v>46-60</v>
      </c>
    </row>
    <row r="624" spans="1:11" x14ac:dyDescent="0.3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 t="str">
        <f t="shared" si="18"/>
        <v>10/03/2023</v>
      </c>
      <c r="K624" t="str">
        <f t="shared" si="19"/>
        <v>26-35</v>
      </c>
    </row>
    <row r="625" spans="1:11" x14ac:dyDescent="0.3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 t="str">
        <f t="shared" si="18"/>
        <v>26/08/2023</v>
      </c>
      <c r="K625" t="str">
        <f t="shared" si="19"/>
        <v>26-35</v>
      </c>
    </row>
    <row r="626" spans="1:11" x14ac:dyDescent="0.3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 t="str">
        <f t="shared" si="18"/>
        <v>08/12/2023</v>
      </c>
      <c r="K626" t="str">
        <f t="shared" si="19"/>
        <v>26-35</v>
      </c>
    </row>
    <row r="627" spans="1:11" x14ac:dyDescent="0.3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 t="str">
        <f t="shared" si="18"/>
        <v>29/09/2023</v>
      </c>
      <c r="K627" t="str">
        <f t="shared" si="19"/>
        <v>26-35</v>
      </c>
    </row>
    <row r="628" spans="1:11" x14ac:dyDescent="0.3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 t="str">
        <f t="shared" si="18"/>
        <v>14/10/2023</v>
      </c>
      <c r="K628" t="str">
        <f t="shared" si="19"/>
        <v>46-60</v>
      </c>
    </row>
    <row r="629" spans="1:11" x14ac:dyDescent="0.3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 t="str">
        <f t="shared" si="18"/>
        <v>01/11/2023</v>
      </c>
      <c r="K629" t="str">
        <f t="shared" si="19"/>
        <v>18-25</v>
      </c>
    </row>
    <row r="630" spans="1:11" x14ac:dyDescent="0.3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 t="str">
        <f t="shared" si="18"/>
        <v>12/06/2023</v>
      </c>
      <c r="K630" t="str">
        <f t="shared" si="19"/>
        <v>60+</v>
      </c>
    </row>
    <row r="631" spans="1:11" x14ac:dyDescent="0.3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 t="str">
        <f t="shared" si="18"/>
        <v>15/08/2023</v>
      </c>
      <c r="K631" t="str">
        <f t="shared" si="19"/>
        <v>36-45</v>
      </c>
    </row>
    <row r="632" spans="1:11" x14ac:dyDescent="0.3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 t="str">
        <f t="shared" si="18"/>
        <v>10/11/2023</v>
      </c>
      <c r="K632" t="str">
        <f t="shared" si="19"/>
        <v>46-60</v>
      </c>
    </row>
    <row r="633" spans="1:11" x14ac:dyDescent="0.3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 t="str">
        <f t="shared" si="18"/>
        <v>16/09/2023</v>
      </c>
      <c r="K633" t="str">
        <f t="shared" si="19"/>
        <v>26-35</v>
      </c>
    </row>
    <row r="634" spans="1:11" x14ac:dyDescent="0.3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 t="str">
        <f t="shared" si="18"/>
        <v>07/08/2023</v>
      </c>
      <c r="K634" t="str">
        <f t="shared" si="19"/>
        <v>36-45</v>
      </c>
    </row>
    <row r="635" spans="1:11" x14ac:dyDescent="0.3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 t="str">
        <f t="shared" si="18"/>
        <v>08/10/2023</v>
      </c>
      <c r="K635" t="str">
        <f t="shared" si="19"/>
        <v>46-60</v>
      </c>
    </row>
    <row r="636" spans="1:11" x14ac:dyDescent="0.3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 t="str">
        <f t="shared" si="18"/>
        <v>17/08/2023</v>
      </c>
      <c r="K636" t="str">
        <f t="shared" si="19"/>
        <v>60+</v>
      </c>
    </row>
    <row r="637" spans="1:11" x14ac:dyDescent="0.3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 t="str">
        <f t="shared" si="18"/>
        <v>23/03/2023</v>
      </c>
      <c r="K637" t="str">
        <f t="shared" si="19"/>
        <v>18-25</v>
      </c>
    </row>
    <row r="638" spans="1:11" x14ac:dyDescent="0.3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 t="str">
        <f t="shared" si="18"/>
        <v>01/09/2023</v>
      </c>
      <c r="K638" t="str">
        <f t="shared" si="19"/>
        <v>36-45</v>
      </c>
    </row>
    <row r="639" spans="1:11" x14ac:dyDescent="0.3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 t="str">
        <f t="shared" si="18"/>
        <v>19/08/2023</v>
      </c>
      <c r="K639" t="str">
        <f t="shared" si="19"/>
        <v>46-60</v>
      </c>
    </row>
    <row r="640" spans="1:11" x14ac:dyDescent="0.3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 t="str">
        <f t="shared" si="18"/>
        <v>13/05/2023</v>
      </c>
      <c r="K640" t="str">
        <f t="shared" si="19"/>
        <v>60+</v>
      </c>
    </row>
    <row r="641" spans="1:11" x14ac:dyDescent="0.3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 t="str">
        <f t="shared" si="18"/>
        <v>07/05/2023</v>
      </c>
      <c r="K641" t="str">
        <f t="shared" si="19"/>
        <v>46-60</v>
      </c>
    </row>
    <row r="642" spans="1:11" x14ac:dyDescent="0.3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 t="str">
        <f t="shared" si="18"/>
        <v>23/11/2023</v>
      </c>
      <c r="K642" t="str">
        <f t="shared" si="19"/>
        <v>36-45</v>
      </c>
    </row>
    <row r="643" spans="1:11" x14ac:dyDescent="0.3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 t="str">
        <f t="shared" ref="J643:J706" si="20">TEXT(B643,"dd/mm/yyyy")</f>
        <v>22/05/2023</v>
      </c>
      <c r="K643" t="str">
        <f t="shared" ref="K643:K706" si="21">IF(E643&lt;18,"Under 18",IF(E643&lt;=25,"18-25",IF(E643&lt;=35,"26-35",IF(E643&lt;=45,"36-45",IF(E643&lt;=60,"46-60","60+")))))</f>
        <v>46-60</v>
      </c>
    </row>
    <row r="644" spans="1:11" x14ac:dyDescent="0.3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 t="str">
        <f t="shared" si="20"/>
        <v>24/09/2023</v>
      </c>
      <c r="K644" t="str">
        <f t="shared" si="21"/>
        <v>26-35</v>
      </c>
    </row>
    <row r="645" spans="1:11" x14ac:dyDescent="0.3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 t="str">
        <f t="shared" si="20"/>
        <v>06/09/2023</v>
      </c>
      <c r="K645" t="str">
        <f t="shared" si="21"/>
        <v>18-25</v>
      </c>
    </row>
    <row r="646" spans="1:11" x14ac:dyDescent="0.3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 t="str">
        <f t="shared" si="20"/>
        <v>17/11/2023</v>
      </c>
      <c r="K646" t="str">
        <f t="shared" si="21"/>
        <v>26-35</v>
      </c>
    </row>
    <row r="647" spans="1:11" x14ac:dyDescent="0.3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 t="str">
        <f t="shared" si="20"/>
        <v>03/05/2023</v>
      </c>
      <c r="K647" t="str">
        <f t="shared" si="21"/>
        <v>36-45</v>
      </c>
    </row>
    <row r="648" spans="1:11" x14ac:dyDescent="0.3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 t="str">
        <f t="shared" si="20"/>
        <v>21/05/2023</v>
      </c>
      <c r="K648" t="str">
        <f t="shared" si="21"/>
        <v>46-60</v>
      </c>
    </row>
    <row r="649" spans="1:11" x14ac:dyDescent="0.3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 t="str">
        <f t="shared" si="20"/>
        <v>14/08/2023</v>
      </c>
      <c r="K649" t="str">
        <f t="shared" si="21"/>
        <v>46-60</v>
      </c>
    </row>
    <row r="650" spans="1:11" x14ac:dyDescent="0.3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 t="str">
        <f t="shared" si="20"/>
        <v>09/02/2023</v>
      </c>
      <c r="K650" t="str">
        <f t="shared" si="21"/>
        <v>46-60</v>
      </c>
    </row>
    <row r="651" spans="1:11" x14ac:dyDescent="0.3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 t="str">
        <f t="shared" si="20"/>
        <v>01/01/2024</v>
      </c>
      <c r="K651" t="str">
        <f t="shared" si="21"/>
        <v>46-60</v>
      </c>
    </row>
    <row r="652" spans="1:11" x14ac:dyDescent="0.3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 t="str">
        <f t="shared" si="20"/>
        <v>27/05/2023</v>
      </c>
      <c r="K652" t="str">
        <f t="shared" si="21"/>
        <v>46-60</v>
      </c>
    </row>
    <row r="653" spans="1:11" x14ac:dyDescent="0.3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 t="str">
        <f t="shared" si="20"/>
        <v>01/05/2023</v>
      </c>
      <c r="K653" t="str">
        <f t="shared" si="21"/>
        <v>26-35</v>
      </c>
    </row>
    <row r="654" spans="1:11" x14ac:dyDescent="0.3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 t="str">
        <f t="shared" si="20"/>
        <v>20/05/2023</v>
      </c>
      <c r="K654" t="str">
        <f t="shared" si="21"/>
        <v>46-60</v>
      </c>
    </row>
    <row r="655" spans="1:11" x14ac:dyDescent="0.3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 t="str">
        <f t="shared" si="20"/>
        <v>21/06/2023</v>
      </c>
      <c r="K655" t="str">
        <f t="shared" si="21"/>
        <v>36-45</v>
      </c>
    </row>
    <row r="656" spans="1:11" x14ac:dyDescent="0.3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 t="str">
        <f t="shared" si="20"/>
        <v>13/06/2023</v>
      </c>
      <c r="K656" t="str">
        <f t="shared" si="21"/>
        <v>46-60</v>
      </c>
    </row>
    <row r="657" spans="1:11" x14ac:dyDescent="0.3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 t="str">
        <f t="shared" si="20"/>
        <v>04/10/2023</v>
      </c>
      <c r="K657" t="str">
        <f t="shared" si="21"/>
        <v>26-35</v>
      </c>
    </row>
    <row r="658" spans="1:11" x14ac:dyDescent="0.3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 t="str">
        <f t="shared" si="20"/>
        <v>11/02/2023</v>
      </c>
      <c r="K658" t="str">
        <f t="shared" si="21"/>
        <v>36-45</v>
      </c>
    </row>
    <row r="659" spans="1:11" x14ac:dyDescent="0.3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 t="str">
        <f t="shared" si="20"/>
        <v>12/03/2023</v>
      </c>
      <c r="K659" t="str">
        <f t="shared" si="21"/>
        <v>46-60</v>
      </c>
    </row>
    <row r="660" spans="1:11" x14ac:dyDescent="0.3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 t="str">
        <f t="shared" si="20"/>
        <v>19/03/2023</v>
      </c>
      <c r="K660" t="str">
        <f t="shared" si="21"/>
        <v>36-45</v>
      </c>
    </row>
    <row r="661" spans="1:11" x14ac:dyDescent="0.3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 t="str">
        <f t="shared" si="20"/>
        <v>29/04/2023</v>
      </c>
      <c r="K661" t="str">
        <f t="shared" si="21"/>
        <v>36-45</v>
      </c>
    </row>
    <row r="662" spans="1:11" x14ac:dyDescent="0.3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 t="str">
        <f t="shared" si="20"/>
        <v>16/07/2023</v>
      </c>
      <c r="K662" t="str">
        <f t="shared" si="21"/>
        <v>36-45</v>
      </c>
    </row>
    <row r="663" spans="1:11" x14ac:dyDescent="0.3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 t="str">
        <f t="shared" si="20"/>
        <v>22/12/2023</v>
      </c>
      <c r="K663" t="str">
        <f t="shared" si="21"/>
        <v>46-60</v>
      </c>
    </row>
    <row r="664" spans="1:11" x14ac:dyDescent="0.3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 t="str">
        <f t="shared" si="20"/>
        <v>20/03/2023</v>
      </c>
      <c r="K664" t="str">
        <f t="shared" si="21"/>
        <v>18-25</v>
      </c>
    </row>
    <row r="665" spans="1:11" x14ac:dyDescent="0.3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 t="str">
        <f t="shared" si="20"/>
        <v>28/12/2023</v>
      </c>
      <c r="K665" t="str">
        <f t="shared" si="21"/>
        <v>36-45</v>
      </c>
    </row>
    <row r="666" spans="1:11" x14ac:dyDescent="0.3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 t="str">
        <f t="shared" si="20"/>
        <v>20/04/2023</v>
      </c>
      <c r="K666" t="str">
        <f t="shared" si="21"/>
        <v>46-60</v>
      </c>
    </row>
    <row r="667" spans="1:11" x14ac:dyDescent="0.3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 t="str">
        <f t="shared" si="20"/>
        <v>02/02/2023</v>
      </c>
      <c r="K667" t="str">
        <f t="shared" si="21"/>
        <v>46-60</v>
      </c>
    </row>
    <row r="668" spans="1:11" x14ac:dyDescent="0.3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 t="str">
        <f t="shared" si="20"/>
        <v>01/08/2023</v>
      </c>
      <c r="K668" t="str">
        <f t="shared" si="21"/>
        <v>26-35</v>
      </c>
    </row>
    <row r="669" spans="1:11" x14ac:dyDescent="0.3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 t="str">
        <f t="shared" si="20"/>
        <v>28/07/2023</v>
      </c>
      <c r="K669" t="str">
        <f t="shared" si="21"/>
        <v>60+</v>
      </c>
    </row>
    <row r="670" spans="1:11" x14ac:dyDescent="0.3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 t="str">
        <f t="shared" si="20"/>
        <v>19/06/2023</v>
      </c>
      <c r="K670" t="str">
        <f t="shared" si="21"/>
        <v>18-25</v>
      </c>
    </row>
    <row r="671" spans="1:11" x14ac:dyDescent="0.3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 t="str">
        <f t="shared" si="20"/>
        <v>05/10/2023</v>
      </c>
      <c r="K671" t="str">
        <f t="shared" si="21"/>
        <v>26-35</v>
      </c>
    </row>
    <row r="672" spans="1:11" x14ac:dyDescent="0.3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 t="str">
        <f t="shared" si="20"/>
        <v>27/08/2023</v>
      </c>
      <c r="K672" t="str">
        <f t="shared" si="21"/>
        <v>60+</v>
      </c>
    </row>
    <row r="673" spans="1:11" x14ac:dyDescent="0.3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 t="str">
        <f t="shared" si="20"/>
        <v>01/08/2023</v>
      </c>
      <c r="K673" t="str">
        <f t="shared" si="21"/>
        <v>26-35</v>
      </c>
    </row>
    <row r="674" spans="1:11" x14ac:dyDescent="0.3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 t="str">
        <f t="shared" si="20"/>
        <v>01/02/2023</v>
      </c>
      <c r="K674" t="str">
        <f t="shared" si="21"/>
        <v>36-45</v>
      </c>
    </row>
    <row r="675" spans="1:11" x14ac:dyDescent="0.3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 t="str">
        <f t="shared" si="20"/>
        <v>16/04/2023</v>
      </c>
      <c r="K675" t="str">
        <f t="shared" si="21"/>
        <v>36-45</v>
      </c>
    </row>
    <row r="676" spans="1:11" x14ac:dyDescent="0.3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 t="str">
        <f t="shared" si="20"/>
        <v>04/08/2023</v>
      </c>
      <c r="K676" t="str">
        <f t="shared" si="21"/>
        <v>36-45</v>
      </c>
    </row>
    <row r="677" spans="1:11" x14ac:dyDescent="0.3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 t="str">
        <f t="shared" si="20"/>
        <v>19/07/2023</v>
      </c>
      <c r="K677" t="str">
        <f t="shared" si="21"/>
        <v>60+</v>
      </c>
    </row>
    <row r="678" spans="1:11" x14ac:dyDescent="0.3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 t="str">
        <f t="shared" si="20"/>
        <v>27/10/2023</v>
      </c>
      <c r="K678" t="str">
        <f t="shared" si="21"/>
        <v>18-25</v>
      </c>
    </row>
    <row r="679" spans="1:11" x14ac:dyDescent="0.3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 t="str">
        <f t="shared" si="20"/>
        <v>23/12/2023</v>
      </c>
      <c r="K679" t="str">
        <f t="shared" si="21"/>
        <v>46-60</v>
      </c>
    </row>
    <row r="680" spans="1:11" x14ac:dyDescent="0.3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 t="str">
        <f t="shared" si="20"/>
        <v>11/01/2023</v>
      </c>
      <c r="K680" t="str">
        <f t="shared" si="21"/>
        <v>18-25</v>
      </c>
    </row>
    <row r="681" spans="1:11" x14ac:dyDescent="0.3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 t="str">
        <f t="shared" si="20"/>
        <v>22/10/2023</v>
      </c>
      <c r="K681" t="str">
        <f t="shared" si="21"/>
        <v>46-60</v>
      </c>
    </row>
    <row r="682" spans="1:11" x14ac:dyDescent="0.3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 t="str">
        <f t="shared" si="20"/>
        <v>14/07/2023</v>
      </c>
      <c r="K682" t="str">
        <f t="shared" si="21"/>
        <v>36-45</v>
      </c>
    </row>
    <row r="683" spans="1:11" x14ac:dyDescent="0.3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 t="str">
        <f t="shared" si="20"/>
        <v>02/09/2023</v>
      </c>
      <c r="K683" t="str">
        <f t="shared" si="21"/>
        <v>46-60</v>
      </c>
    </row>
    <row r="684" spans="1:11" x14ac:dyDescent="0.3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 t="str">
        <f t="shared" si="20"/>
        <v>04/01/2023</v>
      </c>
      <c r="K684" t="str">
        <f t="shared" si="21"/>
        <v>36-45</v>
      </c>
    </row>
    <row r="685" spans="1:11" x14ac:dyDescent="0.3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 t="str">
        <f t="shared" si="20"/>
        <v>30/06/2023</v>
      </c>
      <c r="K685" t="str">
        <f t="shared" si="21"/>
        <v>26-35</v>
      </c>
    </row>
    <row r="686" spans="1:11" x14ac:dyDescent="0.3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 t="str">
        <f t="shared" si="20"/>
        <v>02/06/2023</v>
      </c>
      <c r="K686" t="str">
        <f t="shared" si="21"/>
        <v>46-60</v>
      </c>
    </row>
    <row r="687" spans="1:11" x14ac:dyDescent="0.3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 t="str">
        <f t="shared" si="20"/>
        <v>19/07/2023</v>
      </c>
      <c r="K687" t="str">
        <f t="shared" si="21"/>
        <v>26-35</v>
      </c>
    </row>
    <row r="688" spans="1:11" x14ac:dyDescent="0.3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 t="str">
        <f t="shared" si="20"/>
        <v>03/08/2023</v>
      </c>
      <c r="K688" t="str">
        <f t="shared" si="21"/>
        <v>46-60</v>
      </c>
    </row>
    <row r="689" spans="1:11" x14ac:dyDescent="0.3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 t="str">
        <f t="shared" si="20"/>
        <v>03/10/2023</v>
      </c>
      <c r="K689" t="str">
        <f t="shared" si="21"/>
        <v>46-60</v>
      </c>
    </row>
    <row r="690" spans="1:11" x14ac:dyDescent="0.3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 t="str">
        <f t="shared" si="20"/>
        <v>07/10/2023</v>
      </c>
      <c r="K690" t="str">
        <f t="shared" si="21"/>
        <v>46-60</v>
      </c>
    </row>
    <row r="691" spans="1:11" x14ac:dyDescent="0.3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 t="str">
        <f t="shared" si="20"/>
        <v>05/11/2023</v>
      </c>
      <c r="K691" t="str">
        <f t="shared" si="21"/>
        <v>46-60</v>
      </c>
    </row>
    <row r="692" spans="1:11" x14ac:dyDescent="0.3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 t="str">
        <f t="shared" si="20"/>
        <v>23/04/2023</v>
      </c>
      <c r="K692" t="str">
        <f t="shared" si="21"/>
        <v>46-60</v>
      </c>
    </row>
    <row r="693" spans="1:11" x14ac:dyDescent="0.3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 t="str">
        <f t="shared" si="20"/>
        <v>07/09/2023</v>
      </c>
      <c r="K693" t="str">
        <f t="shared" si="21"/>
        <v>60+</v>
      </c>
    </row>
    <row r="694" spans="1:11" x14ac:dyDescent="0.3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 t="str">
        <f t="shared" si="20"/>
        <v>23/04/2023</v>
      </c>
      <c r="K694" t="str">
        <f t="shared" si="21"/>
        <v>36-45</v>
      </c>
    </row>
    <row r="695" spans="1:11" x14ac:dyDescent="0.3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 t="str">
        <f t="shared" si="20"/>
        <v>20/05/2023</v>
      </c>
      <c r="K695" t="str">
        <f t="shared" si="21"/>
        <v>36-45</v>
      </c>
    </row>
    <row r="696" spans="1:11" x14ac:dyDescent="0.3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 t="str">
        <f t="shared" si="20"/>
        <v>12/08/2023</v>
      </c>
      <c r="K696" t="str">
        <f t="shared" si="21"/>
        <v>18-25</v>
      </c>
    </row>
    <row r="697" spans="1:11" x14ac:dyDescent="0.3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 t="str">
        <f t="shared" si="20"/>
        <v>06/09/2023</v>
      </c>
      <c r="K697" t="str">
        <f t="shared" si="21"/>
        <v>46-60</v>
      </c>
    </row>
    <row r="698" spans="1:11" x14ac:dyDescent="0.3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 t="str">
        <f t="shared" si="20"/>
        <v>15/01/2023</v>
      </c>
      <c r="K698" t="str">
        <f t="shared" si="21"/>
        <v>46-60</v>
      </c>
    </row>
    <row r="699" spans="1:11" x14ac:dyDescent="0.3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 t="str">
        <f t="shared" si="20"/>
        <v>19/07/2023</v>
      </c>
      <c r="K699" t="str">
        <f t="shared" si="21"/>
        <v>60+</v>
      </c>
    </row>
    <row r="700" spans="1:11" x14ac:dyDescent="0.3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 t="str">
        <f t="shared" si="20"/>
        <v>22/06/2023</v>
      </c>
      <c r="K700" t="str">
        <f t="shared" si="21"/>
        <v>36-45</v>
      </c>
    </row>
    <row r="701" spans="1:11" x14ac:dyDescent="0.3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 t="str">
        <f t="shared" si="20"/>
        <v>09/12/2023</v>
      </c>
      <c r="K701" t="str">
        <f t="shared" si="21"/>
        <v>36-45</v>
      </c>
    </row>
    <row r="702" spans="1:11" x14ac:dyDescent="0.3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 t="str">
        <f t="shared" si="20"/>
        <v>14/12/2023</v>
      </c>
      <c r="K702" t="str">
        <f t="shared" si="21"/>
        <v>46-60</v>
      </c>
    </row>
    <row r="703" spans="1:11" x14ac:dyDescent="0.3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 t="str">
        <f t="shared" si="20"/>
        <v>27/07/2023</v>
      </c>
      <c r="K703" t="str">
        <f t="shared" si="21"/>
        <v>46-60</v>
      </c>
    </row>
    <row r="704" spans="1:11" x14ac:dyDescent="0.3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 t="str">
        <f t="shared" si="20"/>
        <v>26/03/2023</v>
      </c>
      <c r="K704" t="str">
        <f t="shared" si="21"/>
        <v>26-35</v>
      </c>
    </row>
    <row r="705" spans="1:11" x14ac:dyDescent="0.3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 t="str">
        <f t="shared" si="20"/>
        <v>28/08/2023</v>
      </c>
      <c r="K705" t="str">
        <f t="shared" si="21"/>
        <v>60+</v>
      </c>
    </row>
    <row r="706" spans="1:11" x14ac:dyDescent="0.3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 t="str">
        <f t="shared" si="20"/>
        <v>07/03/2023</v>
      </c>
      <c r="K706" t="str">
        <f t="shared" si="21"/>
        <v>46-60</v>
      </c>
    </row>
    <row r="707" spans="1:11" x14ac:dyDescent="0.3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 t="str">
        <f t="shared" ref="J707:J770" si="22">TEXT(B707,"dd/mm/yyyy")</f>
        <v>15/11/2023</v>
      </c>
      <c r="K707" t="str">
        <f t="shared" ref="K707:K770" si="23">IF(E707&lt;18,"Under 18",IF(E707&lt;=25,"18-25",IF(E707&lt;=35,"26-35",IF(E707&lt;=45,"36-45",IF(E707&lt;=60,"46-60","60+")))))</f>
        <v>46-60</v>
      </c>
    </row>
    <row r="708" spans="1:11" x14ac:dyDescent="0.3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 t="str">
        <f t="shared" si="22"/>
        <v>01/10/2023</v>
      </c>
      <c r="K708" t="str">
        <f t="shared" si="23"/>
        <v>26-35</v>
      </c>
    </row>
    <row r="709" spans="1:11" x14ac:dyDescent="0.3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 t="str">
        <f t="shared" si="22"/>
        <v>14/01/2023</v>
      </c>
      <c r="K709" t="str">
        <f t="shared" si="23"/>
        <v>36-45</v>
      </c>
    </row>
    <row r="710" spans="1:11" x14ac:dyDescent="0.3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 t="str">
        <f t="shared" si="22"/>
        <v>21/07/2023</v>
      </c>
      <c r="K710" t="str">
        <f t="shared" si="23"/>
        <v>18-25</v>
      </c>
    </row>
    <row r="711" spans="1:11" x14ac:dyDescent="0.3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 t="str">
        <f t="shared" si="22"/>
        <v>31/10/2023</v>
      </c>
      <c r="K711" t="str">
        <f t="shared" si="23"/>
        <v>26-35</v>
      </c>
    </row>
    <row r="712" spans="1:11" x14ac:dyDescent="0.3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 t="str">
        <f t="shared" si="22"/>
        <v>16/10/2023</v>
      </c>
      <c r="K712" t="str">
        <f t="shared" si="23"/>
        <v>26-35</v>
      </c>
    </row>
    <row r="713" spans="1:11" x14ac:dyDescent="0.3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 t="str">
        <f t="shared" si="22"/>
        <v>06/12/2023</v>
      </c>
      <c r="K713" t="str">
        <f t="shared" si="23"/>
        <v>46-60</v>
      </c>
    </row>
    <row r="714" spans="1:11" x14ac:dyDescent="0.3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 t="str">
        <f t="shared" si="22"/>
        <v>14/01/2023</v>
      </c>
      <c r="K714" t="str">
        <f t="shared" si="23"/>
        <v>26-35</v>
      </c>
    </row>
    <row r="715" spans="1:11" x14ac:dyDescent="0.3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 t="str">
        <f t="shared" si="22"/>
        <v>12/02/2023</v>
      </c>
      <c r="K715" t="str">
        <f t="shared" si="23"/>
        <v>18-25</v>
      </c>
    </row>
    <row r="716" spans="1:11" x14ac:dyDescent="0.3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 t="str">
        <f t="shared" si="22"/>
        <v>26/11/2023</v>
      </c>
      <c r="K716" t="str">
        <f t="shared" si="23"/>
        <v>36-45</v>
      </c>
    </row>
    <row r="717" spans="1:11" x14ac:dyDescent="0.3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 t="str">
        <f t="shared" si="22"/>
        <v>08/08/2023</v>
      </c>
      <c r="K717" t="str">
        <f t="shared" si="23"/>
        <v>46-60</v>
      </c>
    </row>
    <row r="718" spans="1:11" x14ac:dyDescent="0.3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 t="str">
        <f t="shared" si="22"/>
        <v>11/03/2023</v>
      </c>
      <c r="K718" t="str">
        <f t="shared" si="23"/>
        <v>46-60</v>
      </c>
    </row>
    <row r="719" spans="1:11" x14ac:dyDescent="0.3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 t="str">
        <f t="shared" si="22"/>
        <v>25/08/2023</v>
      </c>
      <c r="K719" t="str">
        <f t="shared" si="23"/>
        <v>46-60</v>
      </c>
    </row>
    <row r="720" spans="1:11" x14ac:dyDescent="0.3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 t="str">
        <f t="shared" si="22"/>
        <v>04/04/2023</v>
      </c>
      <c r="K720" t="str">
        <f t="shared" si="23"/>
        <v>36-45</v>
      </c>
    </row>
    <row r="721" spans="1:11" x14ac:dyDescent="0.3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 t="str">
        <f t="shared" si="22"/>
        <v>26/01/2023</v>
      </c>
      <c r="K721" t="str">
        <f t="shared" si="23"/>
        <v>46-60</v>
      </c>
    </row>
    <row r="722" spans="1:11" x14ac:dyDescent="0.3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 t="str">
        <f t="shared" si="22"/>
        <v>14/05/2023</v>
      </c>
      <c r="K722" t="str">
        <f t="shared" si="23"/>
        <v>46-60</v>
      </c>
    </row>
    <row r="723" spans="1:11" x14ac:dyDescent="0.3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 t="str">
        <f t="shared" si="22"/>
        <v>14/07/2023</v>
      </c>
      <c r="K723" t="str">
        <f t="shared" si="23"/>
        <v>18-25</v>
      </c>
    </row>
    <row r="724" spans="1:11" x14ac:dyDescent="0.3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 t="str">
        <f t="shared" si="22"/>
        <v>17/06/2023</v>
      </c>
      <c r="K724" t="str">
        <f t="shared" si="23"/>
        <v>46-60</v>
      </c>
    </row>
    <row r="725" spans="1:11" x14ac:dyDescent="0.3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 t="str">
        <f t="shared" si="22"/>
        <v>19/04/2023</v>
      </c>
      <c r="K725" t="str">
        <f t="shared" si="23"/>
        <v>60+</v>
      </c>
    </row>
    <row r="726" spans="1:11" x14ac:dyDescent="0.3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 t="str">
        <f t="shared" si="22"/>
        <v>21/08/2023</v>
      </c>
      <c r="K726" t="str">
        <f t="shared" si="23"/>
        <v>60+</v>
      </c>
    </row>
    <row r="727" spans="1:11" x14ac:dyDescent="0.3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 t="str">
        <f t="shared" si="22"/>
        <v>17/06/2023</v>
      </c>
      <c r="K727" t="str">
        <f t="shared" si="23"/>
        <v>46-60</v>
      </c>
    </row>
    <row r="728" spans="1:11" x14ac:dyDescent="0.3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 t="str">
        <f t="shared" si="22"/>
        <v>22/06/2023</v>
      </c>
      <c r="K728" t="str">
        <f t="shared" si="23"/>
        <v>46-60</v>
      </c>
    </row>
    <row r="729" spans="1:11" x14ac:dyDescent="0.3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 t="str">
        <f t="shared" si="22"/>
        <v>14/07/2023</v>
      </c>
      <c r="K729" t="str">
        <f t="shared" si="23"/>
        <v>46-60</v>
      </c>
    </row>
    <row r="730" spans="1:11" x14ac:dyDescent="0.3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 t="str">
        <f t="shared" si="22"/>
        <v>23/05/2023</v>
      </c>
      <c r="K730" t="str">
        <f t="shared" si="23"/>
        <v>26-35</v>
      </c>
    </row>
    <row r="731" spans="1:11" x14ac:dyDescent="0.3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 t="str">
        <f t="shared" si="22"/>
        <v>04/08/2023</v>
      </c>
      <c r="K731" t="str">
        <f t="shared" si="23"/>
        <v>36-45</v>
      </c>
    </row>
    <row r="732" spans="1:11" x14ac:dyDescent="0.3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 t="str">
        <f t="shared" si="22"/>
        <v>10/05/2023</v>
      </c>
      <c r="K732" t="str">
        <f t="shared" si="23"/>
        <v>46-60</v>
      </c>
    </row>
    <row r="733" spans="1:11" x14ac:dyDescent="0.3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 t="str">
        <f t="shared" si="22"/>
        <v>11/02/2023</v>
      </c>
      <c r="K733" t="str">
        <f t="shared" si="23"/>
        <v>60+</v>
      </c>
    </row>
    <row r="734" spans="1:11" x14ac:dyDescent="0.3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 t="str">
        <f t="shared" si="22"/>
        <v>29/08/2023</v>
      </c>
      <c r="K734" t="str">
        <f t="shared" si="23"/>
        <v>26-35</v>
      </c>
    </row>
    <row r="735" spans="1:11" x14ac:dyDescent="0.3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 t="str">
        <f t="shared" si="22"/>
        <v>10/01/2023</v>
      </c>
      <c r="K735" t="str">
        <f t="shared" si="23"/>
        <v>26-35</v>
      </c>
    </row>
    <row r="736" spans="1:11" x14ac:dyDescent="0.3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 t="str">
        <f t="shared" si="22"/>
        <v>04/10/2023</v>
      </c>
      <c r="K736" t="str">
        <f t="shared" si="23"/>
        <v>60+</v>
      </c>
    </row>
    <row r="737" spans="1:11" x14ac:dyDescent="0.3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 t="str">
        <f t="shared" si="22"/>
        <v>27/01/2023</v>
      </c>
      <c r="K737" t="str">
        <f t="shared" si="23"/>
        <v>26-35</v>
      </c>
    </row>
    <row r="738" spans="1:11" x14ac:dyDescent="0.3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 t="str">
        <f t="shared" si="22"/>
        <v>29/06/2023</v>
      </c>
      <c r="K738" t="str">
        <f t="shared" si="23"/>
        <v>26-35</v>
      </c>
    </row>
    <row r="739" spans="1:11" x14ac:dyDescent="0.3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 t="str">
        <f t="shared" si="22"/>
        <v>25/04/2023</v>
      </c>
      <c r="K739" t="str">
        <f t="shared" si="23"/>
        <v>36-45</v>
      </c>
    </row>
    <row r="740" spans="1:11" x14ac:dyDescent="0.3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 t="str">
        <f t="shared" si="22"/>
        <v>29/11/2023</v>
      </c>
      <c r="K740" t="str">
        <f t="shared" si="23"/>
        <v>36-45</v>
      </c>
    </row>
    <row r="741" spans="1:11" x14ac:dyDescent="0.3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 t="str">
        <f t="shared" si="22"/>
        <v>05/02/2023</v>
      </c>
      <c r="K741" t="str">
        <f t="shared" si="23"/>
        <v>18-25</v>
      </c>
    </row>
    <row r="742" spans="1:11" x14ac:dyDescent="0.3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 t="str">
        <f t="shared" si="22"/>
        <v>30/11/2023</v>
      </c>
      <c r="K742" t="str">
        <f t="shared" si="23"/>
        <v>46-60</v>
      </c>
    </row>
    <row r="743" spans="1:11" x14ac:dyDescent="0.3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 t="str">
        <f t="shared" si="22"/>
        <v>21/01/2023</v>
      </c>
      <c r="K743" t="str">
        <f t="shared" si="23"/>
        <v>36-45</v>
      </c>
    </row>
    <row r="744" spans="1:11" x14ac:dyDescent="0.3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 t="str">
        <f t="shared" si="22"/>
        <v>16/01/2023</v>
      </c>
      <c r="K744" t="str">
        <f t="shared" si="23"/>
        <v>26-35</v>
      </c>
    </row>
    <row r="745" spans="1:11" x14ac:dyDescent="0.3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 t="str">
        <f t="shared" si="22"/>
        <v>07/05/2023</v>
      </c>
      <c r="K745" t="str">
        <f t="shared" si="23"/>
        <v>36-45</v>
      </c>
    </row>
    <row r="746" spans="1:11" x14ac:dyDescent="0.3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 t="str">
        <f t="shared" si="22"/>
        <v>13/04/2023</v>
      </c>
      <c r="K746" t="str">
        <f t="shared" si="23"/>
        <v>46-60</v>
      </c>
    </row>
    <row r="747" spans="1:11" x14ac:dyDescent="0.3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 t="str">
        <f t="shared" si="22"/>
        <v>11/01/2023</v>
      </c>
      <c r="K747" t="str">
        <f t="shared" si="23"/>
        <v>26-35</v>
      </c>
    </row>
    <row r="748" spans="1:11" x14ac:dyDescent="0.3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 t="str">
        <f t="shared" si="22"/>
        <v>15/11/2023</v>
      </c>
      <c r="K748" t="str">
        <f t="shared" si="23"/>
        <v>18-25</v>
      </c>
    </row>
    <row r="749" spans="1:11" x14ac:dyDescent="0.3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 t="str">
        <f t="shared" si="22"/>
        <v>20/03/2023</v>
      </c>
      <c r="K749" t="str">
        <f t="shared" si="23"/>
        <v>18-25</v>
      </c>
    </row>
    <row r="750" spans="1:11" x14ac:dyDescent="0.3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 t="str">
        <f t="shared" si="22"/>
        <v>03/05/2023</v>
      </c>
      <c r="K750" t="str">
        <f t="shared" si="23"/>
        <v>36-45</v>
      </c>
    </row>
    <row r="751" spans="1:11" x14ac:dyDescent="0.3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 t="str">
        <f t="shared" si="22"/>
        <v>06/03/2023</v>
      </c>
      <c r="K751" t="str">
        <f t="shared" si="23"/>
        <v>26-35</v>
      </c>
    </row>
    <row r="752" spans="1:11" x14ac:dyDescent="0.3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 t="str">
        <f t="shared" si="22"/>
        <v>31/08/2023</v>
      </c>
      <c r="K752" t="str">
        <f t="shared" si="23"/>
        <v>36-45</v>
      </c>
    </row>
    <row r="753" spans="1:11" x14ac:dyDescent="0.3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 t="str">
        <f t="shared" si="22"/>
        <v>09/12/2023</v>
      </c>
      <c r="K753" t="str">
        <f t="shared" si="23"/>
        <v>26-35</v>
      </c>
    </row>
    <row r="754" spans="1:11" x14ac:dyDescent="0.3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 t="str">
        <f t="shared" si="22"/>
        <v>28/02/2023</v>
      </c>
      <c r="K754" t="str">
        <f t="shared" si="23"/>
        <v>26-35</v>
      </c>
    </row>
    <row r="755" spans="1:11" x14ac:dyDescent="0.3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 t="str">
        <f t="shared" si="22"/>
        <v>16/10/2023</v>
      </c>
      <c r="K755" t="str">
        <f t="shared" si="23"/>
        <v>36-45</v>
      </c>
    </row>
    <row r="756" spans="1:11" x14ac:dyDescent="0.3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 t="str">
        <f t="shared" si="22"/>
        <v>22/04/2023</v>
      </c>
      <c r="K756" t="str">
        <f t="shared" si="23"/>
        <v>46-60</v>
      </c>
    </row>
    <row r="757" spans="1:11" x14ac:dyDescent="0.3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 t="str">
        <f t="shared" si="22"/>
        <v>27/08/2023</v>
      </c>
      <c r="K757" t="str">
        <f t="shared" si="23"/>
        <v>60+</v>
      </c>
    </row>
    <row r="758" spans="1:11" x14ac:dyDescent="0.3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 t="str">
        <f t="shared" si="22"/>
        <v>25/12/2023</v>
      </c>
      <c r="K758" t="str">
        <f t="shared" si="23"/>
        <v>36-45</v>
      </c>
    </row>
    <row r="759" spans="1:11" x14ac:dyDescent="0.3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 t="str">
        <f t="shared" si="22"/>
        <v>12/05/2023</v>
      </c>
      <c r="K759" t="str">
        <f t="shared" si="23"/>
        <v>60+</v>
      </c>
    </row>
    <row r="760" spans="1:11" x14ac:dyDescent="0.3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 t="str">
        <f t="shared" si="22"/>
        <v>08/07/2023</v>
      </c>
      <c r="K760" t="str">
        <f t="shared" si="23"/>
        <v>46-60</v>
      </c>
    </row>
    <row r="761" spans="1:11" x14ac:dyDescent="0.3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 t="str">
        <f t="shared" si="22"/>
        <v>27/03/2023</v>
      </c>
      <c r="K761" t="str">
        <f t="shared" si="23"/>
        <v>26-35</v>
      </c>
    </row>
    <row r="762" spans="1:11" x14ac:dyDescent="0.3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 t="str">
        <f t="shared" si="22"/>
        <v>07/11/2023</v>
      </c>
      <c r="K762" t="str">
        <f t="shared" si="23"/>
        <v>26-35</v>
      </c>
    </row>
    <row r="763" spans="1:11" x14ac:dyDescent="0.3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 t="str">
        <f t="shared" si="22"/>
        <v>07/11/2023</v>
      </c>
      <c r="K763" t="str">
        <f t="shared" si="23"/>
        <v>18-25</v>
      </c>
    </row>
    <row r="764" spans="1:11" x14ac:dyDescent="0.3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 t="str">
        <f t="shared" si="22"/>
        <v>28/02/2023</v>
      </c>
      <c r="K764" t="str">
        <f t="shared" si="23"/>
        <v>26-35</v>
      </c>
    </row>
    <row r="765" spans="1:11" x14ac:dyDescent="0.3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 t="str">
        <f t="shared" si="22"/>
        <v>25/03/2023</v>
      </c>
      <c r="K765" t="str">
        <f t="shared" si="23"/>
        <v>36-45</v>
      </c>
    </row>
    <row r="766" spans="1:11" x14ac:dyDescent="0.3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 t="str">
        <f t="shared" si="22"/>
        <v>09/06/2023</v>
      </c>
      <c r="K766" t="str">
        <f t="shared" si="23"/>
        <v>36-45</v>
      </c>
    </row>
    <row r="767" spans="1:11" x14ac:dyDescent="0.3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 t="str">
        <f t="shared" si="22"/>
        <v>25/02/2023</v>
      </c>
      <c r="K767" t="str">
        <f t="shared" si="23"/>
        <v>36-45</v>
      </c>
    </row>
    <row r="768" spans="1:11" x14ac:dyDescent="0.3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 t="str">
        <f t="shared" si="22"/>
        <v>24/10/2023</v>
      </c>
      <c r="K768" t="str">
        <f t="shared" si="23"/>
        <v>36-45</v>
      </c>
    </row>
    <row r="769" spans="1:11" x14ac:dyDescent="0.3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 t="str">
        <f t="shared" si="22"/>
        <v>14/01/2023</v>
      </c>
      <c r="K769" t="str">
        <f t="shared" si="23"/>
        <v>18-25</v>
      </c>
    </row>
    <row r="770" spans="1:11" x14ac:dyDescent="0.3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 t="str">
        <f t="shared" si="22"/>
        <v>09/06/2023</v>
      </c>
      <c r="K770" t="str">
        <f t="shared" si="23"/>
        <v>26-35</v>
      </c>
    </row>
    <row r="771" spans="1:11" x14ac:dyDescent="0.3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 t="str">
        <f t="shared" ref="J771:J834" si="24">TEXT(B771,"dd/mm/yyyy")</f>
        <v>22/10/2023</v>
      </c>
      <c r="K771" t="str">
        <f t="shared" ref="K771:K834" si="25">IF(E771&lt;18,"Under 18",IF(E771&lt;=25,"18-25",IF(E771&lt;=35,"26-35",IF(E771&lt;=45,"36-45",IF(E771&lt;=60,"46-60","60+")))))</f>
        <v>26-35</v>
      </c>
    </row>
    <row r="772" spans="1:11" x14ac:dyDescent="0.3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 t="str">
        <f t="shared" si="24"/>
        <v>13/12/2023</v>
      </c>
      <c r="K772" t="str">
        <f t="shared" si="25"/>
        <v>18-25</v>
      </c>
    </row>
    <row r="773" spans="1:11" x14ac:dyDescent="0.3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 t="str">
        <f t="shared" si="24"/>
        <v>12/07/2023</v>
      </c>
      <c r="K773" t="str">
        <f t="shared" si="25"/>
        <v>26-35</v>
      </c>
    </row>
    <row r="774" spans="1:11" x14ac:dyDescent="0.3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 t="str">
        <f t="shared" si="24"/>
        <v>23/07/2023</v>
      </c>
      <c r="K774" t="str">
        <f t="shared" si="25"/>
        <v>18-25</v>
      </c>
    </row>
    <row r="775" spans="1:11" x14ac:dyDescent="0.3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 t="str">
        <f t="shared" si="24"/>
        <v>12/04/2023</v>
      </c>
      <c r="K775" t="str">
        <f t="shared" si="25"/>
        <v>36-45</v>
      </c>
    </row>
    <row r="776" spans="1:11" x14ac:dyDescent="0.3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 t="str">
        <f t="shared" si="24"/>
        <v>08/02/2023</v>
      </c>
      <c r="K776" t="str">
        <f t="shared" si="25"/>
        <v>46-60</v>
      </c>
    </row>
    <row r="777" spans="1:11" x14ac:dyDescent="0.3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 t="str">
        <f t="shared" si="24"/>
        <v>31/10/2023</v>
      </c>
      <c r="K777" t="str">
        <f t="shared" si="25"/>
        <v>26-35</v>
      </c>
    </row>
    <row r="778" spans="1:11" x14ac:dyDescent="0.3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 t="str">
        <f t="shared" si="24"/>
        <v>20/12/2023</v>
      </c>
      <c r="K778" t="str">
        <f t="shared" si="25"/>
        <v>46-60</v>
      </c>
    </row>
    <row r="779" spans="1:11" x14ac:dyDescent="0.3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 t="str">
        <f t="shared" si="24"/>
        <v>18/11/2023</v>
      </c>
      <c r="K779" t="str">
        <f t="shared" si="25"/>
        <v>46-60</v>
      </c>
    </row>
    <row r="780" spans="1:11" x14ac:dyDescent="0.3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 t="str">
        <f t="shared" si="24"/>
        <v>05/05/2023</v>
      </c>
      <c r="K780" t="str">
        <f t="shared" si="25"/>
        <v>46-60</v>
      </c>
    </row>
    <row r="781" spans="1:11" x14ac:dyDescent="0.3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 t="str">
        <f t="shared" si="24"/>
        <v>22/02/2023</v>
      </c>
      <c r="K781" t="str">
        <f t="shared" si="25"/>
        <v>46-60</v>
      </c>
    </row>
    <row r="782" spans="1:11" x14ac:dyDescent="0.3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 t="str">
        <f t="shared" si="24"/>
        <v>23/12/2023</v>
      </c>
      <c r="K782" t="str">
        <f t="shared" si="25"/>
        <v>26-35</v>
      </c>
    </row>
    <row r="783" spans="1:11" x14ac:dyDescent="0.3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 t="str">
        <f t="shared" si="24"/>
        <v>04/06/2023</v>
      </c>
      <c r="K783" t="str">
        <f t="shared" si="25"/>
        <v>46-60</v>
      </c>
    </row>
    <row r="784" spans="1:11" x14ac:dyDescent="0.3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 t="str">
        <f t="shared" si="24"/>
        <v>17/12/2023</v>
      </c>
      <c r="K784" t="str">
        <f t="shared" si="25"/>
        <v>46-60</v>
      </c>
    </row>
    <row r="785" spans="1:11" x14ac:dyDescent="0.3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 t="str">
        <f t="shared" si="24"/>
        <v>04/11/2023</v>
      </c>
      <c r="K785" t="str">
        <f t="shared" si="25"/>
        <v>26-35</v>
      </c>
    </row>
    <row r="786" spans="1:11" x14ac:dyDescent="0.3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 t="str">
        <f t="shared" si="24"/>
        <v>03/03/2023</v>
      </c>
      <c r="K786" t="str">
        <f t="shared" si="25"/>
        <v>26-35</v>
      </c>
    </row>
    <row r="787" spans="1:11" x14ac:dyDescent="0.3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 t="str">
        <f t="shared" si="24"/>
        <v>17/10/2023</v>
      </c>
      <c r="K787" t="str">
        <f t="shared" si="25"/>
        <v>46-60</v>
      </c>
    </row>
    <row r="788" spans="1:11" x14ac:dyDescent="0.3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 t="str">
        <f t="shared" si="24"/>
        <v>22/01/2023</v>
      </c>
      <c r="K788" t="str">
        <f t="shared" si="25"/>
        <v>36-45</v>
      </c>
    </row>
    <row r="789" spans="1:11" x14ac:dyDescent="0.3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 t="str">
        <f t="shared" si="24"/>
        <v>27/06/2023</v>
      </c>
      <c r="K789" t="str">
        <f t="shared" si="25"/>
        <v>46-60</v>
      </c>
    </row>
    <row r="790" spans="1:11" x14ac:dyDescent="0.3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 t="str">
        <f t="shared" si="24"/>
        <v>30/09/2023</v>
      </c>
      <c r="K790" t="str">
        <f t="shared" si="25"/>
        <v>60+</v>
      </c>
    </row>
    <row r="791" spans="1:11" x14ac:dyDescent="0.3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 t="str">
        <f t="shared" si="24"/>
        <v>08/08/2023</v>
      </c>
      <c r="K791" t="str">
        <f t="shared" si="25"/>
        <v>60+</v>
      </c>
    </row>
    <row r="792" spans="1:11" x14ac:dyDescent="0.3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 t="str">
        <f t="shared" si="24"/>
        <v>05/12/2023</v>
      </c>
      <c r="K792" t="str">
        <f t="shared" si="25"/>
        <v>46-60</v>
      </c>
    </row>
    <row r="793" spans="1:11" x14ac:dyDescent="0.3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 t="str">
        <f t="shared" si="24"/>
        <v>09/07/2023</v>
      </c>
      <c r="K793" t="str">
        <f t="shared" si="25"/>
        <v>18-25</v>
      </c>
    </row>
    <row r="794" spans="1:11" x14ac:dyDescent="0.3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 t="str">
        <f t="shared" si="24"/>
        <v>05/02/2023</v>
      </c>
      <c r="K794" t="str">
        <f t="shared" si="25"/>
        <v>46-60</v>
      </c>
    </row>
    <row r="795" spans="1:11" x14ac:dyDescent="0.3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 t="str">
        <f t="shared" si="24"/>
        <v>17/09/2023</v>
      </c>
      <c r="K795" t="str">
        <f t="shared" si="25"/>
        <v>46-60</v>
      </c>
    </row>
    <row r="796" spans="1:11" x14ac:dyDescent="0.3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 t="str">
        <f t="shared" si="24"/>
        <v>28/11/2023</v>
      </c>
      <c r="K796" t="str">
        <f t="shared" si="25"/>
        <v>46-60</v>
      </c>
    </row>
    <row r="797" spans="1:11" x14ac:dyDescent="0.3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 t="str">
        <f t="shared" si="24"/>
        <v>24/06/2023</v>
      </c>
      <c r="K797" t="str">
        <f t="shared" si="25"/>
        <v>36-45</v>
      </c>
    </row>
    <row r="798" spans="1:11" x14ac:dyDescent="0.3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 t="str">
        <f t="shared" si="24"/>
        <v>07/01/2023</v>
      </c>
      <c r="K798" t="str">
        <f t="shared" si="25"/>
        <v>36-45</v>
      </c>
    </row>
    <row r="799" spans="1:11" x14ac:dyDescent="0.3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 t="str">
        <f t="shared" si="24"/>
        <v>04/08/2023</v>
      </c>
      <c r="K799" t="str">
        <f t="shared" si="25"/>
        <v>60+</v>
      </c>
    </row>
    <row r="800" spans="1:11" x14ac:dyDescent="0.3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 t="str">
        <f t="shared" si="24"/>
        <v>08/09/2023</v>
      </c>
      <c r="K800" t="str">
        <f t="shared" si="25"/>
        <v>46-60</v>
      </c>
    </row>
    <row r="801" spans="1:11" x14ac:dyDescent="0.3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 t="str">
        <f t="shared" si="24"/>
        <v>24/02/2023</v>
      </c>
      <c r="K801" t="str">
        <f t="shared" si="25"/>
        <v>26-35</v>
      </c>
    </row>
    <row r="802" spans="1:11" x14ac:dyDescent="0.3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 t="str">
        <f t="shared" si="24"/>
        <v>10/08/2023</v>
      </c>
      <c r="K802" t="str">
        <f t="shared" si="25"/>
        <v>18-25</v>
      </c>
    </row>
    <row r="803" spans="1:11" x14ac:dyDescent="0.3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 t="str">
        <f t="shared" si="24"/>
        <v>05/07/2023</v>
      </c>
      <c r="K803" t="str">
        <f t="shared" si="25"/>
        <v>46-60</v>
      </c>
    </row>
    <row r="804" spans="1:11" x14ac:dyDescent="0.3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 t="str">
        <f t="shared" si="24"/>
        <v>22/11/2023</v>
      </c>
      <c r="K804" t="str">
        <f t="shared" si="25"/>
        <v>36-45</v>
      </c>
    </row>
    <row r="805" spans="1:11" x14ac:dyDescent="0.3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 t="str">
        <f t="shared" si="24"/>
        <v>24/08/2023</v>
      </c>
      <c r="K805" t="str">
        <f t="shared" si="25"/>
        <v>36-45</v>
      </c>
    </row>
    <row r="806" spans="1:11" x14ac:dyDescent="0.3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 t="str">
        <f t="shared" si="24"/>
        <v>29/12/2023</v>
      </c>
      <c r="K806" t="str">
        <f t="shared" si="25"/>
        <v>26-35</v>
      </c>
    </row>
    <row r="807" spans="1:11" x14ac:dyDescent="0.3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 t="str">
        <f t="shared" si="24"/>
        <v>20/03/2023</v>
      </c>
      <c r="K807" t="str">
        <f t="shared" si="25"/>
        <v>26-35</v>
      </c>
    </row>
    <row r="808" spans="1:11" x14ac:dyDescent="0.3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 t="str">
        <f t="shared" si="24"/>
        <v>11/08/2023</v>
      </c>
      <c r="K808" t="str">
        <f t="shared" si="25"/>
        <v>46-60</v>
      </c>
    </row>
    <row r="809" spans="1:11" x14ac:dyDescent="0.3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 t="str">
        <f t="shared" si="24"/>
        <v>01/04/2023</v>
      </c>
      <c r="K809" t="str">
        <f t="shared" si="25"/>
        <v>26-35</v>
      </c>
    </row>
    <row r="810" spans="1:11" x14ac:dyDescent="0.3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 t="str">
        <f t="shared" si="24"/>
        <v>25/09/2023</v>
      </c>
      <c r="K810" t="str">
        <f t="shared" si="25"/>
        <v>60+</v>
      </c>
    </row>
    <row r="811" spans="1:11" x14ac:dyDescent="0.3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 t="str">
        <f t="shared" si="24"/>
        <v>30/11/2023</v>
      </c>
      <c r="K811" t="str">
        <f t="shared" si="25"/>
        <v>46-60</v>
      </c>
    </row>
    <row r="812" spans="1:11" x14ac:dyDescent="0.3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 t="str">
        <f t="shared" si="24"/>
        <v>19/05/2023</v>
      </c>
      <c r="K812" t="str">
        <f t="shared" si="25"/>
        <v>60+</v>
      </c>
    </row>
    <row r="813" spans="1:11" x14ac:dyDescent="0.3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 t="str">
        <f t="shared" si="24"/>
        <v>12/11/2023</v>
      </c>
      <c r="K813" t="str">
        <f t="shared" si="25"/>
        <v>18-25</v>
      </c>
    </row>
    <row r="814" spans="1:11" x14ac:dyDescent="0.3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 t="str">
        <f t="shared" si="24"/>
        <v>03/10/2023</v>
      </c>
      <c r="K814" t="str">
        <f t="shared" si="25"/>
        <v>46-60</v>
      </c>
    </row>
    <row r="815" spans="1:11" x14ac:dyDescent="0.3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 t="str">
        <f t="shared" si="24"/>
        <v>05/09/2023</v>
      </c>
      <c r="K815" t="str">
        <f t="shared" si="25"/>
        <v>46-60</v>
      </c>
    </row>
    <row r="816" spans="1:11" x14ac:dyDescent="0.3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 t="str">
        <f t="shared" si="24"/>
        <v>27/08/2023</v>
      </c>
      <c r="K816" t="str">
        <f t="shared" si="25"/>
        <v>46-60</v>
      </c>
    </row>
    <row r="817" spans="1:11" x14ac:dyDescent="0.3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 t="str">
        <f t="shared" si="24"/>
        <v>12/08/2023</v>
      </c>
      <c r="K817" t="str">
        <f t="shared" si="25"/>
        <v>46-60</v>
      </c>
    </row>
    <row r="818" spans="1:11" x14ac:dyDescent="0.3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 t="str">
        <f t="shared" si="24"/>
        <v>31/10/2023</v>
      </c>
      <c r="K818" t="str">
        <f t="shared" si="25"/>
        <v>26-35</v>
      </c>
    </row>
    <row r="819" spans="1:11" x14ac:dyDescent="0.3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 t="str">
        <f t="shared" si="24"/>
        <v>18/05/2023</v>
      </c>
      <c r="K819" t="str">
        <f t="shared" si="25"/>
        <v>26-35</v>
      </c>
    </row>
    <row r="820" spans="1:11" x14ac:dyDescent="0.3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 t="str">
        <f t="shared" si="24"/>
        <v>15/06/2023</v>
      </c>
      <c r="K820" t="str">
        <f t="shared" si="25"/>
        <v>26-35</v>
      </c>
    </row>
    <row r="821" spans="1:11" x14ac:dyDescent="0.3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 t="str">
        <f t="shared" si="24"/>
        <v>06/05/2023</v>
      </c>
      <c r="K821" t="str">
        <f t="shared" si="25"/>
        <v>46-60</v>
      </c>
    </row>
    <row r="822" spans="1:11" x14ac:dyDescent="0.3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 t="str">
        <f t="shared" si="24"/>
        <v>14/02/2023</v>
      </c>
      <c r="K822" t="str">
        <f t="shared" si="25"/>
        <v>46-60</v>
      </c>
    </row>
    <row r="823" spans="1:11" x14ac:dyDescent="0.3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 t="str">
        <f t="shared" si="24"/>
        <v>23/05/2023</v>
      </c>
      <c r="K823" t="str">
        <f t="shared" si="25"/>
        <v>46-60</v>
      </c>
    </row>
    <row r="824" spans="1:11" x14ac:dyDescent="0.3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 t="str">
        <f t="shared" si="24"/>
        <v>19/08/2023</v>
      </c>
      <c r="K824" t="str">
        <f t="shared" si="25"/>
        <v>46-60</v>
      </c>
    </row>
    <row r="825" spans="1:11" x14ac:dyDescent="0.3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 t="str">
        <f t="shared" si="24"/>
        <v>05/05/2023</v>
      </c>
      <c r="K825" t="str">
        <f t="shared" si="25"/>
        <v>60+</v>
      </c>
    </row>
    <row r="826" spans="1:11" x14ac:dyDescent="0.3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 t="str">
        <f t="shared" si="24"/>
        <v>26/08/2023</v>
      </c>
      <c r="K826" t="str">
        <f t="shared" si="25"/>
        <v>46-60</v>
      </c>
    </row>
    <row r="827" spans="1:11" x14ac:dyDescent="0.3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 t="str">
        <f t="shared" si="24"/>
        <v>19/10/2023</v>
      </c>
      <c r="K827" t="str">
        <f t="shared" si="25"/>
        <v>46-60</v>
      </c>
    </row>
    <row r="828" spans="1:11" x14ac:dyDescent="0.3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 t="str">
        <f t="shared" si="24"/>
        <v>09/11/2023</v>
      </c>
      <c r="K828" t="str">
        <f t="shared" si="25"/>
        <v>60+</v>
      </c>
    </row>
    <row r="829" spans="1:11" x14ac:dyDescent="0.3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 t="str">
        <f t="shared" si="24"/>
        <v>09/12/2023</v>
      </c>
      <c r="K829" t="str">
        <f t="shared" si="25"/>
        <v>26-35</v>
      </c>
    </row>
    <row r="830" spans="1:11" x14ac:dyDescent="0.3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 t="str">
        <f t="shared" si="24"/>
        <v>14/07/2023</v>
      </c>
      <c r="K830" t="str">
        <f t="shared" si="25"/>
        <v>60+</v>
      </c>
    </row>
    <row r="831" spans="1:11" x14ac:dyDescent="0.3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 t="str">
        <f t="shared" si="24"/>
        <v>22/06/2023</v>
      </c>
      <c r="K831" t="str">
        <f t="shared" si="25"/>
        <v>60+</v>
      </c>
    </row>
    <row r="832" spans="1:11" x14ac:dyDescent="0.3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 t="str">
        <f t="shared" si="24"/>
        <v>15/01/2023</v>
      </c>
      <c r="K832" t="str">
        <f t="shared" si="25"/>
        <v>26-35</v>
      </c>
    </row>
    <row r="833" spans="1:11" x14ac:dyDescent="0.3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 t="str">
        <f t="shared" si="24"/>
        <v>11/09/2023</v>
      </c>
      <c r="K833" t="str">
        <f t="shared" si="25"/>
        <v>46-60</v>
      </c>
    </row>
    <row r="834" spans="1:11" x14ac:dyDescent="0.3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 t="str">
        <f t="shared" si="24"/>
        <v>16/06/2023</v>
      </c>
      <c r="K834" t="str">
        <f t="shared" si="25"/>
        <v>36-45</v>
      </c>
    </row>
    <row r="835" spans="1:11" x14ac:dyDescent="0.3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 t="str">
        <f t="shared" ref="J835:J898" si="26">TEXT(B835,"dd/mm/yyyy")</f>
        <v>04/04/2023</v>
      </c>
      <c r="K835" t="str">
        <f t="shared" ref="K835:K898" si="27">IF(E835&lt;18,"Under 18",IF(E835&lt;=25,"18-25",IF(E835&lt;=35,"26-35",IF(E835&lt;=45,"36-45",IF(E835&lt;=60,"46-60","60+")))))</f>
        <v>46-60</v>
      </c>
    </row>
    <row r="836" spans="1:11" x14ac:dyDescent="0.3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 t="str">
        <f t="shared" si="26"/>
        <v>07/09/2023</v>
      </c>
      <c r="K836" t="str">
        <f t="shared" si="27"/>
        <v>36-45</v>
      </c>
    </row>
    <row r="837" spans="1:11" x14ac:dyDescent="0.3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 t="str">
        <f t="shared" si="26"/>
        <v>19/04/2023</v>
      </c>
      <c r="K837" t="str">
        <f t="shared" si="27"/>
        <v>18-25</v>
      </c>
    </row>
    <row r="838" spans="1:11" x14ac:dyDescent="0.3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 t="str">
        <f t="shared" si="26"/>
        <v>01/07/2023</v>
      </c>
      <c r="K838" t="str">
        <f t="shared" si="27"/>
        <v>18-25</v>
      </c>
    </row>
    <row r="839" spans="1:11" x14ac:dyDescent="0.3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 t="str">
        <f t="shared" si="26"/>
        <v>13/05/2023</v>
      </c>
      <c r="K839" t="str">
        <f t="shared" si="27"/>
        <v>46-60</v>
      </c>
    </row>
    <row r="840" spans="1:11" x14ac:dyDescent="0.3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 t="str">
        <f t="shared" si="26"/>
        <v>24/06/2023</v>
      </c>
      <c r="K840" t="str">
        <f t="shared" si="27"/>
        <v>18-25</v>
      </c>
    </row>
    <row r="841" spans="1:11" x14ac:dyDescent="0.3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 t="str">
        <f t="shared" si="26"/>
        <v>24/05/2023</v>
      </c>
      <c r="K841" t="str">
        <f t="shared" si="27"/>
        <v>60+</v>
      </c>
    </row>
    <row r="842" spans="1:11" x14ac:dyDescent="0.3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 t="str">
        <f t="shared" si="26"/>
        <v>02/11/2023</v>
      </c>
      <c r="K842" t="str">
        <f t="shared" si="27"/>
        <v>26-35</v>
      </c>
    </row>
    <row r="843" spans="1:11" x14ac:dyDescent="0.3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 t="str">
        <f t="shared" si="26"/>
        <v>26/12/2023</v>
      </c>
      <c r="K843" t="str">
        <f t="shared" si="27"/>
        <v>46-60</v>
      </c>
    </row>
    <row r="844" spans="1:11" x14ac:dyDescent="0.3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 t="str">
        <f t="shared" si="26"/>
        <v>22/05/2023</v>
      </c>
      <c r="K844" t="str">
        <f t="shared" si="27"/>
        <v>18-25</v>
      </c>
    </row>
    <row r="845" spans="1:11" x14ac:dyDescent="0.3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 t="str">
        <f t="shared" si="26"/>
        <v>12/10/2023</v>
      </c>
      <c r="K845" t="str">
        <f t="shared" si="27"/>
        <v>26-35</v>
      </c>
    </row>
    <row r="846" spans="1:11" x14ac:dyDescent="0.3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 t="str">
        <f t="shared" si="26"/>
        <v>06/01/2023</v>
      </c>
      <c r="K846" t="str">
        <f t="shared" si="27"/>
        <v>46-60</v>
      </c>
    </row>
    <row r="847" spans="1:11" x14ac:dyDescent="0.3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 t="str">
        <f t="shared" si="26"/>
        <v>22/09/2023</v>
      </c>
      <c r="K847" t="str">
        <f t="shared" si="27"/>
        <v>36-45</v>
      </c>
    </row>
    <row r="848" spans="1:11" x14ac:dyDescent="0.3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 t="str">
        <f t="shared" si="26"/>
        <v>08/04/2023</v>
      </c>
      <c r="K848" t="str">
        <f t="shared" si="27"/>
        <v>18-25</v>
      </c>
    </row>
    <row r="849" spans="1:11" x14ac:dyDescent="0.3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 t="str">
        <f t="shared" si="26"/>
        <v>13/02/2023</v>
      </c>
      <c r="K849" t="str">
        <f t="shared" si="27"/>
        <v>60+</v>
      </c>
    </row>
    <row r="850" spans="1:11" x14ac:dyDescent="0.3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 t="str">
        <f t="shared" si="26"/>
        <v>04/05/2023</v>
      </c>
      <c r="K850" t="str">
        <f t="shared" si="27"/>
        <v>26-35</v>
      </c>
    </row>
    <row r="851" spans="1:11" x14ac:dyDescent="0.3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 t="str">
        <f t="shared" si="26"/>
        <v>28/07/2023</v>
      </c>
      <c r="K851" t="str">
        <f t="shared" si="27"/>
        <v>26-35</v>
      </c>
    </row>
    <row r="852" spans="1:11" x14ac:dyDescent="0.3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 t="str">
        <f t="shared" si="26"/>
        <v>08/09/2023</v>
      </c>
      <c r="K852" t="str">
        <f t="shared" si="27"/>
        <v>26-35</v>
      </c>
    </row>
    <row r="853" spans="1:11" x14ac:dyDescent="0.3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 t="str">
        <f t="shared" si="26"/>
        <v>12/10/2023</v>
      </c>
      <c r="K853" t="str">
        <f t="shared" si="27"/>
        <v>36-45</v>
      </c>
    </row>
    <row r="854" spans="1:11" x14ac:dyDescent="0.3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 t="str">
        <f t="shared" si="26"/>
        <v>04/05/2023</v>
      </c>
      <c r="K854" t="str">
        <f t="shared" si="27"/>
        <v>18-25</v>
      </c>
    </row>
    <row r="855" spans="1:11" x14ac:dyDescent="0.3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 t="str">
        <f t="shared" si="26"/>
        <v>20/12/2023</v>
      </c>
      <c r="K855" t="str">
        <f t="shared" si="27"/>
        <v>26-35</v>
      </c>
    </row>
    <row r="856" spans="1:11" x14ac:dyDescent="0.3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 t="str">
        <f t="shared" si="26"/>
        <v>01/09/2023</v>
      </c>
      <c r="K856" t="str">
        <f t="shared" si="27"/>
        <v>46-60</v>
      </c>
    </row>
    <row r="857" spans="1:11" x14ac:dyDescent="0.3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 t="str">
        <f t="shared" si="26"/>
        <v>27/11/2023</v>
      </c>
      <c r="K857" t="str">
        <f t="shared" si="27"/>
        <v>46-60</v>
      </c>
    </row>
    <row r="858" spans="1:11" x14ac:dyDescent="0.3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 t="str">
        <f t="shared" si="26"/>
        <v>31/12/2023</v>
      </c>
      <c r="K858" t="str">
        <f t="shared" si="27"/>
        <v>46-60</v>
      </c>
    </row>
    <row r="859" spans="1:11" x14ac:dyDescent="0.3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 t="str">
        <f t="shared" si="26"/>
        <v>09/09/2023</v>
      </c>
      <c r="K859" t="str">
        <f t="shared" si="27"/>
        <v>18-25</v>
      </c>
    </row>
    <row r="860" spans="1:11" x14ac:dyDescent="0.3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 t="str">
        <f t="shared" si="26"/>
        <v>18/08/2023</v>
      </c>
      <c r="K860" t="str">
        <f t="shared" si="27"/>
        <v>46-60</v>
      </c>
    </row>
    <row r="861" spans="1:11" x14ac:dyDescent="0.3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 t="str">
        <f t="shared" si="26"/>
        <v>09/01/2023</v>
      </c>
      <c r="K861" t="str">
        <f t="shared" si="27"/>
        <v>60+</v>
      </c>
    </row>
    <row r="862" spans="1:11" x14ac:dyDescent="0.3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 t="str">
        <f t="shared" si="26"/>
        <v>17/02/2023</v>
      </c>
      <c r="K862" t="str">
        <f t="shared" si="27"/>
        <v>36-45</v>
      </c>
    </row>
    <row r="863" spans="1:11" x14ac:dyDescent="0.3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 t="str">
        <f t="shared" si="26"/>
        <v>31/05/2023</v>
      </c>
      <c r="K863" t="str">
        <f t="shared" si="27"/>
        <v>26-35</v>
      </c>
    </row>
    <row r="864" spans="1:11" x14ac:dyDescent="0.3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 t="str">
        <f t="shared" si="26"/>
        <v>24/04/2023</v>
      </c>
      <c r="K864" t="str">
        <f t="shared" si="27"/>
        <v>26-35</v>
      </c>
    </row>
    <row r="865" spans="1:11" x14ac:dyDescent="0.3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 t="str">
        <f t="shared" si="26"/>
        <v>27/07/2023</v>
      </c>
      <c r="K865" t="str">
        <f t="shared" si="27"/>
        <v>46-60</v>
      </c>
    </row>
    <row r="866" spans="1:11" x14ac:dyDescent="0.3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 t="str">
        <f t="shared" si="26"/>
        <v>21/12/2023</v>
      </c>
      <c r="K866" t="str">
        <f t="shared" si="27"/>
        <v>36-45</v>
      </c>
    </row>
    <row r="867" spans="1:11" x14ac:dyDescent="0.3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 t="str">
        <f t="shared" si="26"/>
        <v>05/05/2023</v>
      </c>
      <c r="K867" t="str">
        <f t="shared" si="27"/>
        <v>18-25</v>
      </c>
    </row>
    <row r="868" spans="1:11" x14ac:dyDescent="0.3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 t="str">
        <f t="shared" si="26"/>
        <v>06/06/2023</v>
      </c>
      <c r="K868" t="str">
        <f t="shared" si="27"/>
        <v>18-25</v>
      </c>
    </row>
    <row r="869" spans="1:11" x14ac:dyDescent="0.3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 t="str">
        <f t="shared" si="26"/>
        <v>06/12/2023</v>
      </c>
      <c r="K869" t="str">
        <f t="shared" si="27"/>
        <v>18-25</v>
      </c>
    </row>
    <row r="870" spans="1:11" x14ac:dyDescent="0.3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 t="str">
        <f t="shared" si="26"/>
        <v>25/10/2023</v>
      </c>
      <c r="K870" t="str">
        <f t="shared" si="27"/>
        <v>36-45</v>
      </c>
    </row>
    <row r="871" spans="1:11" x14ac:dyDescent="0.3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 t="str">
        <f t="shared" si="26"/>
        <v>08/07/2023</v>
      </c>
      <c r="K871" t="str">
        <f t="shared" si="27"/>
        <v>46-60</v>
      </c>
    </row>
    <row r="872" spans="1:11" x14ac:dyDescent="0.3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 t="str">
        <f t="shared" si="26"/>
        <v>31/08/2023</v>
      </c>
      <c r="K872" t="str">
        <f t="shared" si="27"/>
        <v>60+</v>
      </c>
    </row>
    <row r="873" spans="1:11" x14ac:dyDescent="0.3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 t="str">
        <f t="shared" si="26"/>
        <v>11/10/2023</v>
      </c>
      <c r="K873" t="str">
        <f t="shared" si="27"/>
        <v>60+</v>
      </c>
    </row>
    <row r="874" spans="1:11" x14ac:dyDescent="0.3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 t="str">
        <f t="shared" si="26"/>
        <v>29/09/2023</v>
      </c>
      <c r="K874" t="str">
        <f t="shared" si="27"/>
        <v>26-35</v>
      </c>
    </row>
    <row r="875" spans="1:11" x14ac:dyDescent="0.3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 t="str">
        <f t="shared" si="26"/>
        <v>26/06/2023</v>
      </c>
      <c r="K875" t="str">
        <f t="shared" si="27"/>
        <v>46-60</v>
      </c>
    </row>
    <row r="876" spans="1:11" x14ac:dyDescent="0.3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 t="str">
        <f t="shared" si="26"/>
        <v>06/08/2023</v>
      </c>
      <c r="K876" t="str">
        <f t="shared" si="27"/>
        <v>46-60</v>
      </c>
    </row>
    <row r="877" spans="1:11" x14ac:dyDescent="0.3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 t="str">
        <f t="shared" si="26"/>
        <v>09/10/2023</v>
      </c>
      <c r="K877" t="str">
        <f t="shared" si="27"/>
        <v>36-45</v>
      </c>
    </row>
    <row r="878" spans="1:11" x14ac:dyDescent="0.3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 t="str">
        <f t="shared" si="26"/>
        <v>19/06/2023</v>
      </c>
      <c r="K878" t="str">
        <f t="shared" si="27"/>
        <v>46-60</v>
      </c>
    </row>
    <row r="879" spans="1:11" x14ac:dyDescent="0.3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 t="str">
        <f t="shared" si="26"/>
        <v>30/06/2023</v>
      </c>
      <c r="K879" t="str">
        <f t="shared" si="27"/>
        <v>18-25</v>
      </c>
    </row>
    <row r="880" spans="1:11" x14ac:dyDescent="0.3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 t="str">
        <f t="shared" si="26"/>
        <v>26/12/2023</v>
      </c>
      <c r="K880" t="str">
        <f t="shared" si="27"/>
        <v>18-25</v>
      </c>
    </row>
    <row r="881" spans="1:11" x14ac:dyDescent="0.3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 t="str">
        <f t="shared" si="26"/>
        <v>21/08/2023</v>
      </c>
      <c r="K881" t="str">
        <f t="shared" si="27"/>
        <v>18-25</v>
      </c>
    </row>
    <row r="882" spans="1:11" x14ac:dyDescent="0.3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 t="str">
        <f t="shared" si="26"/>
        <v>19/05/2023</v>
      </c>
      <c r="K882" t="str">
        <f t="shared" si="27"/>
        <v>18-25</v>
      </c>
    </row>
    <row r="883" spans="1:11" x14ac:dyDescent="0.3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 t="str">
        <f t="shared" si="26"/>
        <v>06/06/2023</v>
      </c>
      <c r="K883" t="str">
        <f t="shared" si="27"/>
        <v>60+</v>
      </c>
    </row>
    <row r="884" spans="1:11" x14ac:dyDescent="0.3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 t="str">
        <f t="shared" si="26"/>
        <v>09/05/2023</v>
      </c>
      <c r="K884" t="str">
        <f t="shared" si="27"/>
        <v>36-45</v>
      </c>
    </row>
    <row r="885" spans="1:11" x14ac:dyDescent="0.3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 t="str">
        <f t="shared" si="26"/>
        <v>29/04/2023</v>
      </c>
      <c r="K885" t="str">
        <f t="shared" si="27"/>
        <v>26-35</v>
      </c>
    </row>
    <row r="886" spans="1:11" x14ac:dyDescent="0.3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 t="str">
        <f t="shared" si="26"/>
        <v>03/03/2023</v>
      </c>
      <c r="K886" t="str">
        <f t="shared" si="27"/>
        <v>46-60</v>
      </c>
    </row>
    <row r="887" spans="1:11" x14ac:dyDescent="0.3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 t="str">
        <f t="shared" si="26"/>
        <v>09/04/2023</v>
      </c>
      <c r="K887" t="str">
        <f t="shared" si="27"/>
        <v>36-45</v>
      </c>
    </row>
    <row r="888" spans="1:11" x14ac:dyDescent="0.3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 t="str">
        <f t="shared" si="26"/>
        <v>11/06/2023</v>
      </c>
      <c r="K888" t="str">
        <f t="shared" si="27"/>
        <v>46-60</v>
      </c>
    </row>
    <row r="889" spans="1:11" x14ac:dyDescent="0.3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 t="str">
        <f t="shared" si="26"/>
        <v>03/03/2023</v>
      </c>
      <c r="K889" t="str">
        <f t="shared" si="27"/>
        <v>46-60</v>
      </c>
    </row>
    <row r="890" spans="1:11" x14ac:dyDescent="0.3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 t="str">
        <f t="shared" si="26"/>
        <v>02/10/2023</v>
      </c>
      <c r="K890" t="str">
        <f t="shared" si="27"/>
        <v>26-35</v>
      </c>
    </row>
    <row r="891" spans="1:11" x14ac:dyDescent="0.3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 t="str">
        <f t="shared" si="26"/>
        <v>20/12/2023</v>
      </c>
      <c r="K891" t="str">
        <f t="shared" si="27"/>
        <v>26-35</v>
      </c>
    </row>
    <row r="892" spans="1:11" x14ac:dyDescent="0.3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 t="str">
        <f t="shared" si="26"/>
        <v>05/04/2023</v>
      </c>
      <c r="K892" t="str">
        <f t="shared" si="27"/>
        <v>36-45</v>
      </c>
    </row>
    <row r="893" spans="1:11" x14ac:dyDescent="0.3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 t="str">
        <f t="shared" si="26"/>
        <v>09/04/2023</v>
      </c>
      <c r="K893" t="str">
        <f t="shared" si="27"/>
        <v>18-25</v>
      </c>
    </row>
    <row r="894" spans="1:11" x14ac:dyDescent="0.3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 t="str">
        <f t="shared" si="26"/>
        <v>21/04/2023</v>
      </c>
      <c r="K894" t="str">
        <f t="shared" si="27"/>
        <v>46-60</v>
      </c>
    </row>
    <row r="895" spans="1:11" x14ac:dyDescent="0.3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 t="str">
        <f t="shared" si="26"/>
        <v>05/09/2023</v>
      </c>
      <c r="K895" t="str">
        <f t="shared" si="27"/>
        <v>46-60</v>
      </c>
    </row>
    <row r="896" spans="1:11" x14ac:dyDescent="0.3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 t="str">
        <f t="shared" si="26"/>
        <v>22/05/2023</v>
      </c>
      <c r="K896" t="str">
        <f t="shared" si="27"/>
        <v>46-60</v>
      </c>
    </row>
    <row r="897" spans="1:11" x14ac:dyDescent="0.3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 t="str">
        <f t="shared" si="26"/>
        <v>29/10/2023</v>
      </c>
      <c r="K897" t="str">
        <f t="shared" si="27"/>
        <v>26-35</v>
      </c>
    </row>
    <row r="898" spans="1:11" x14ac:dyDescent="0.3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 t="str">
        <f t="shared" si="26"/>
        <v>26/09/2023</v>
      </c>
      <c r="K898" t="str">
        <f t="shared" si="27"/>
        <v>60+</v>
      </c>
    </row>
    <row r="899" spans="1:11" x14ac:dyDescent="0.3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 t="str">
        <f t="shared" ref="J899:J962" si="28">TEXT(B899,"dd/mm/yyyy")</f>
        <v>02/11/2023</v>
      </c>
      <c r="K899" t="str">
        <f t="shared" ref="K899:K962" si="29">IF(E899&lt;18,"Under 18",IF(E899&lt;=25,"18-25",IF(E899&lt;=35,"26-35",IF(E899&lt;=45,"36-45",IF(E899&lt;=60,"46-60","60+")))))</f>
        <v>36-45</v>
      </c>
    </row>
    <row r="900" spans="1:11" x14ac:dyDescent="0.3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 t="str">
        <f t="shared" si="28"/>
        <v>25/05/2023</v>
      </c>
      <c r="K900" t="str">
        <f t="shared" si="29"/>
        <v>26-35</v>
      </c>
    </row>
    <row r="901" spans="1:11" x14ac:dyDescent="0.3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 t="str">
        <f t="shared" si="28"/>
        <v>21/02/2023</v>
      </c>
      <c r="K901" t="str">
        <f t="shared" si="29"/>
        <v>18-25</v>
      </c>
    </row>
    <row r="902" spans="1:11" x14ac:dyDescent="0.3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 t="str">
        <f t="shared" si="28"/>
        <v>10/04/2023</v>
      </c>
      <c r="K902" t="str">
        <f t="shared" si="29"/>
        <v>26-35</v>
      </c>
    </row>
    <row r="903" spans="1:11" x14ac:dyDescent="0.3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 t="str">
        <f t="shared" si="28"/>
        <v>01/06/2023</v>
      </c>
      <c r="K903" t="str">
        <f t="shared" si="29"/>
        <v>46-60</v>
      </c>
    </row>
    <row r="904" spans="1:11" x14ac:dyDescent="0.3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 t="str">
        <f t="shared" si="28"/>
        <v>27/04/2023</v>
      </c>
      <c r="K904" t="str">
        <f t="shared" si="29"/>
        <v>46-60</v>
      </c>
    </row>
    <row r="905" spans="1:11" x14ac:dyDescent="0.3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 t="str">
        <f t="shared" si="28"/>
        <v>04/07/2023</v>
      </c>
      <c r="K905" t="str">
        <f t="shared" si="29"/>
        <v>26-35</v>
      </c>
    </row>
    <row r="906" spans="1:11" x14ac:dyDescent="0.3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 t="str">
        <f t="shared" si="28"/>
        <v>02/04/2023</v>
      </c>
      <c r="K906" t="str">
        <f t="shared" si="29"/>
        <v>46-60</v>
      </c>
    </row>
    <row r="907" spans="1:11" x14ac:dyDescent="0.3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 t="str">
        <f t="shared" si="28"/>
        <v>04/06/2023</v>
      </c>
      <c r="K907" t="str">
        <f t="shared" si="29"/>
        <v>18-25</v>
      </c>
    </row>
    <row r="908" spans="1:11" x14ac:dyDescent="0.3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 t="str">
        <f t="shared" si="28"/>
        <v>08/01/2023</v>
      </c>
      <c r="K908" t="str">
        <f t="shared" si="29"/>
        <v>36-45</v>
      </c>
    </row>
    <row r="909" spans="1:11" x14ac:dyDescent="0.3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 t="str">
        <f t="shared" si="28"/>
        <v>29/12/2023</v>
      </c>
      <c r="K909" t="str">
        <f t="shared" si="29"/>
        <v>46-60</v>
      </c>
    </row>
    <row r="910" spans="1:11" x14ac:dyDescent="0.3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 t="str">
        <f t="shared" si="28"/>
        <v>01/10/2023</v>
      </c>
      <c r="K910" t="str">
        <f t="shared" si="29"/>
        <v>26-35</v>
      </c>
    </row>
    <row r="911" spans="1:11" x14ac:dyDescent="0.3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 t="str">
        <f t="shared" si="28"/>
        <v>06/03/2023</v>
      </c>
      <c r="K911" t="str">
        <f t="shared" si="29"/>
        <v>18-25</v>
      </c>
    </row>
    <row r="912" spans="1:11" x14ac:dyDescent="0.3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 t="str">
        <f t="shared" si="28"/>
        <v>21/05/2023</v>
      </c>
      <c r="K912" t="str">
        <f t="shared" si="29"/>
        <v>36-45</v>
      </c>
    </row>
    <row r="913" spans="1:11" x14ac:dyDescent="0.3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 t="str">
        <f t="shared" si="28"/>
        <v>24/01/2023</v>
      </c>
      <c r="K913" t="str">
        <f t="shared" si="29"/>
        <v>46-60</v>
      </c>
    </row>
    <row r="914" spans="1:11" x14ac:dyDescent="0.3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 t="str">
        <f t="shared" si="28"/>
        <v>28/01/2023</v>
      </c>
      <c r="K914" t="str">
        <f t="shared" si="29"/>
        <v>26-35</v>
      </c>
    </row>
    <row r="915" spans="1:11" x14ac:dyDescent="0.3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 t="str">
        <f t="shared" si="28"/>
        <v>11/10/2023</v>
      </c>
      <c r="K915" t="str">
        <f t="shared" si="29"/>
        <v>46-60</v>
      </c>
    </row>
    <row r="916" spans="1:11" x14ac:dyDescent="0.3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 t="str">
        <f t="shared" si="28"/>
        <v>30/05/2023</v>
      </c>
      <c r="K916" t="str">
        <f t="shared" si="29"/>
        <v>26-35</v>
      </c>
    </row>
    <row r="917" spans="1:11" x14ac:dyDescent="0.3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 t="str">
        <f t="shared" si="28"/>
        <v>24/12/2023</v>
      </c>
      <c r="K917" t="str">
        <f t="shared" si="29"/>
        <v>26-35</v>
      </c>
    </row>
    <row r="918" spans="1:11" x14ac:dyDescent="0.3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 t="str">
        <f t="shared" si="28"/>
        <v>06/03/2023</v>
      </c>
      <c r="K918" t="str">
        <f t="shared" si="29"/>
        <v>46-60</v>
      </c>
    </row>
    <row r="919" spans="1:11" x14ac:dyDescent="0.3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 t="str">
        <f t="shared" si="28"/>
        <v>23/11/2023</v>
      </c>
      <c r="K919" t="str">
        <f t="shared" si="29"/>
        <v>36-45</v>
      </c>
    </row>
    <row r="920" spans="1:11" x14ac:dyDescent="0.3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 t="str">
        <f t="shared" si="28"/>
        <v>09/09/2023</v>
      </c>
      <c r="K920" t="str">
        <f t="shared" si="29"/>
        <v>18-25</v>
      </c>
    </row>
    <row r="921" spans="1:11" x14ac:dyDescent="0.3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 t="str">
        <f t="shared" si="28"/>
        <v>22/02/2023</v>
      </c>
      <c r="K921" t="str">
        <f t="shared" si="29"/>
        <v>26-35</v>
      </c>
    </row>
    <row r="922" spans="1:11" x14ac:dyDescent="0.3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 t="str">
        <f t="shared" si="28"/>
        <v>07/01/2023</v>
      </c>
      <c r="K922" t="str">
        <f t="shared" si="29"/>
        <v>46-60</v>
      </c>
    </row>
    <row r="923" spans="1:11" x14ac:dyDescent="0.3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 t="str">
        <f t="shared" si="28"/>
        <v>21/10/2023</v>
      </c>
      <c r="K923" t="str">
        <f t="shared" si="29"/>
        <v>36-45</v>
      </c>
    </row>
    <row r="924" spans="1:11" x14ac:dyDescent="0.3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 t="str">
        <f t="shared" si="28"/>
        <v>26/05/2023</v>
      </c>
      <c r="K924" t="str">
        <f t="shared" si="29"/>
        <v>26-35</v>
      </c>
    </row>
    <row r="925" spans="1:11" x14ac:dyDescent="0.3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 t="str">
        <f t="shared" si="28"/>
        <v>29/08/2023</v>
      </c>
      <c r="K925" t="str">
        <f t="shared" si="29"/>
        <v>46-60</v>
      </c>
    </row>
    <row r="926" spans="1:11" x14ac:dyDescent="0.3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 t="str">
        <f t="shared" si="28"/>
        <v>03/09/2023</v>
      </c>
      <c r="K926" t="str">
        <f t="shared" si="29"/>
        <v>18-25</v>
      </c>
    </row>
    <row r="927" spans="1:11" x14ac:dyDescent="0.3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 t="str">
        <f t="shared" si="28"/>
        <v>14/08/2023</v>
      </c>
      <c r="K927" t="str">
        <f t="shared" si="29"/>
        <v>18-25</v>
      </c>
    </row>
    <row r="928" spans="1:11" x14ac:dyDescent="0.3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 t="str">
        <f t="shared" si="28"/>
        <v>24/06/2023</v>
      </c>
      <c r="K928" t="str">
        <f t="shared" si="29"/>
        <v>36-45</v>
      </c>
    </row>
    <row r="929" spans="1:11" x14ac:dyDescent="0.3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 t="str">
        <f t="shared" si="28"/>
        <v>05/04/2023</v>
      </c>
      <c r="K929" t="str">
        <f t="shared" si="29"/>
        <v>26-35</v>
      </c>
    </row>
    <row r="930" spans="1:11" x14ac:dyDescent="0.3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 t="str">
        <f t="shared" si="28"/>
        <v>27/01/2023</v>
      </c>
      <c r="K930" t="str">
        <f t="shared" si="29"/>
        <v>18-25</v>
      </c>
    </row>
    <row r="931" spans="1:11" x14ac:dyDescent="0.3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 t="str">
        <f t="shared" si="28"/>
        <v>10/05/2023</v>
      </c>
      <c r="K931" t="str">
        <f t="shared" si="29"/>
        <v>46-60</v>
      </c>
    </row>
    <row r="932" spans="1:11" x14ac:dyDescent="0.3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 t="str">
        <f t="shared" si="28"/>
        <v>02/09/2023</v>
      </c>
      <c r="K932" t="str">
        <f t="shared" si="29"/>
        <v>26-35</v>
      </c>
    </row>
    <row r="933" spans="1:11" x14ac:dyDescent="0.3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 t="str">
        <f t="shared" si="28"/>
        <v>28/02/2023</v>
      </c>
      <c r="K933" t="str">
        <f t="shared" si="29"/>
        <v>36-45</v>
      </c>
    </row>
    <row r="934" spans="1:11" x14ac:dyDescent="0.3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 t="str">
        <f t="shared" si="28"/>
        <v>03/02/2023</v>
      </c>
      <c r="K934" t="str">
        <f t="shared" si="29"/>
        <v>18-25</v>
      </c>
    </row>
    <row r="935" spans="1:11" x14ac:dyDescent="0.3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 t="str">
        <f t="shared" si="28"/>
        <v>25/07/2023</v>
      </c>
      <c r="K935" t="str">
        <f t="shared" si="29"/>
        <v>26-35</v>
      </c>
    </row>
    <row r="936" spans="1:11" x14ac:dyDescent="0.3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 t="str">
        <f t="shared" si="28"/>
        <v>09/09/2023</v>
      </c>
      <c r="K936" t="str">
        <f t="shared" si="29"/>
        <v>26-35</v>
      </c>
    </row>
    <row r="937" spans="1:11" x14ac:dyDescent="0.3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 t="str">
        <f t="shared" si="28"/>
        <v>07/02/2023</v>
      </c>
      <c r="K937" t="str">
        <f t="shared" si="29"/>
        <v>46-60</v>
      </c>
    </row>
    <row r="938" spans="1:11" x14ac:dyDescent="0.3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 t="str">
        <f t="shared" si="28"/>
        <v>23/10/2023</v>
      </c>
      <c r="K938" t="str">
        <f t="shared" si="29"/>
        <v>60+</v>
      </c>
    </row>
    <row r="939" spans="1:11" x14ac:dyDescent="0.3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 t="str">
        <f t="shared" si="28"/>
        <v>19/11/2023</v>
      </c>
      <c r="K939" t="str">
        <f t="shared" si="29"/>
        <v>46-60</v>
      </c>
    </row>
    <row r="940" spans="1:11" x14ac:dyDescent="0.3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 t="str">
        <f t="shared" si="28"/>
        <v>18/12/2023</v>
      </c>
      <c r="K940" t="str">
        <f t="shared" si="29"/>
        <v>46-60</v>
      </c>
    </row>
    <row r="941" spans="1:11" x14ac:dyDescent="0.3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 t="str">
        <f t="shared" si="28"/>
        <v>28/01/2023</v>
      </c>
      <c r="K941" t="str">
        <f t="shared" si="29"/>
        <v>18-25</v>
      </c>
    </row>
    <row r="942" spans="1:11" x14ac:dyDescent="0.3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 t="str">
        <f t="shared" si="28"/>
        <v>19/03/2023</v>
      </c>
      <c r="K942" t="str">
        <f t="shared" si="29"/>
        <v>46-60</v>
      </c>
    </row>
    <row r="943" spans="1:11" x14ac:dyDescent="0.3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 t="str">
        <f t="shared" si="28"/>
        <v>18/03/2023</v>
      </c>
      <c r="K943" t="str">
        <f t="shared" si="29"/>
        <v>46-60</v>
      </c>
    </row>
    <row r="944" spans="1:11" x14ac:dyDescent="0.3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 t="str">
        <f t="shared" si="28"/>
        <v>16/10/2023</v>
      </c>
      <c r="K944" t="str">
        <f t="shared" si="29"/>
        <v>46-60</v>
      </c>
    </row>
    <row r="945" spans="1:11" x14ac:dyDescent="0.3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 t="str">
        <f t="shared" si="28"/>
        <v>05/06/2023</v>
      </c>
      <c r="K945" t="str">
        <f t="shared" si="29"/>
        <v>36-45</v>
      </c>
    </row>
    <row r="946" spans="1:11" x14ac:dyDescent="0.3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 t="str">
        <f t="shared" si="28"/>
        <v>13/02/2023</v>
      </c>
      <c r="K946" t="str">
        <f t="shared" si="29"/>
        <v>26-35</v>
      </c>
    </row>
    <row r="947" spans="1:11" x14ac:dyDescent="0.3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 t="str">
        <f t="shared" si="28"/>
        <v>08/05/2023</v>
      </c>
      <c r="K947" t="str">
        <f t="shared" si="29"/>
        <v>60+</v>
      </c>
    </row>
    <row r="948" spans="1:11" x14ac:dyDescent="0.3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 t="str">
        <f t="shared" si="28"/>
        <v>02/03/2023</v>
      </c>
      <c r="K948" t="str">
        <f t="shared" si="29"/>
        <v>46-60</v>
      </c>
    </row>
    <row r="949" spans="1:11" x14ac:dyDescent="0.3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 t="str">
        <f t="shared" si="28"/>
        <v>13/10/2023</v>
      </c>
      <c r="K949" t="str">
        <f t="shared" si="29"/>
        <v>18-25</v>
      </c>
    </row>
    <row r="950" spans="1:11" x14ac:dyDescent="0.3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 t="str">
        <f t="shared" si="28"/>
        <v>02/08/2023</v>
      </c>
      <c r="K950" t="str">
        <f t="shared" si="29"/>
        <v>36-45</v>
      </c>
    </row>
    <row r="951" spans="1:11" x14ac:dyDescent="0.3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 t="str">
        <f t="shared" si="28"/>
        <v>07/11/2023</v>
      </c>
      <c r="K951" t="str">
        <f t="shared" si="29"/>
        <v>36-45</v>
      </c>
    </row>
    <row r="952" spans="1:11" x14ac:dyDescent="0.3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 t="str">
        <f t="shared" si="28"/>
        <v>02/11/2023</v>
      </c>
      <c r="K952" t="str">
        <f t="shared" si="29"/>
        <v>26-35</v>
      </c>
    </row>
    <row r="953" spans="1:11" x14ac:dyDescent="0.3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 t="str">
        <f t="shared" si="28"/>
        <v>13/11/2023</v>
      </c>
      <c r="K953" t="str">
        <f t="shared" si="29"/>
        <v>46-60</v>
      </c>
    </row>
    <row r="954" spans="1:11" x14ac:dyDescent="0.3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 t="str">
        <f t="shared" si="28"/>
        <v>26/04/2023</v>
      </c>
      <c r="K954" t="str">
        <f t="shared" si="29"/>
        <v>36-45</v>
      </c>
    </row>
    <row r="955" spans="1:11" x14ac:dyDescent="0.3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 t="str">
        <f t="shared" si="28"/>
        <v>25/09/2023</v>
      </c>
      <c r="K955" t="str">
        <f t="shared" si="29"/>
        <v>46-60</v>
      </c>
    </row>
    <row r="956" spans="1:11" x14ac:dyDescent="0.3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 t="str">
        <f t="shared" si="28"/>
        <v>14/07/2023</v>
      </c>
      <c r="K956" t="str">
        <f t="shared" si="29"/>
        <v>46-60</v>
      </c>
    </row>
    <row r="957" spans="1:11" x14ac:dyDescent="0.3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 t="str">
        <f t="shared" si="28"/>
        <v>19/08/2023</v>
      </c>
      <c r="K957" t="str">
        <f t="shared" si="29"/>
        <v>26-35</v>
      </c>
    </row>
    <row r="958" spans="1:11" x14ac:dyDescent="0.3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 t="str">
        <f t="shared" si="28"/>
        <v>15/08/2023</v>
      </c>
      <c r="K958" t="str">
        <f t="shared" si="29"/>
        <v>46-60</v>
      </c>
    </row>
    <row r="959" spans="1:11" x14ac:dyDescent="0.3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 t="str">
        <f t="shared" si="28"/>
        <v>02/06/2023</v>
      </c>
      <c r="K959" t="str">
        <f t="shared" si="29"/>
        <v>60+</v>
      </c>
    </row>
    <row r="960" spans="1:11" x14ac:dyDescent="0.3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 t="str">
        <f t="shared" si="28"/>
        <v>29/10/2023</v>
      </c>
      <c r="K960" t="str">
        <f t="shared" si="29"/>
        <v>36-45</v>
      </c>
    </row>
    <row r="961" spans="1:11" x14ac:dyDescent="0.3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 t="str">
        <f t="shared" si="28"/>
        <v>08/08/2023</v>
      </c>
      <c r="K961" t="str">
        <f t="shared" si="29"/>
        <v>46-60</v>
      </c>
    </row>
    <row r="962" spans="1:11" x14ac:dyDescent="0.3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 t="str">
        <f t="shared" si="28"/>
        <v>06/06/2023</v>
      </c>
      <c r="K962" t="str">
        <f t="shared" si="29"/>
        <v>46-60</v>
      </c>
    </row>
    <row r="963" spans="1:11" x14ac:dyDescent="0.3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 t="str">
        <f t="shared" ref="J963:J1001" si="30">TEXT(B963,"dd/mm/yyyy")</f>
        <v>19/10/2023</v>
      </c>
      <c r="K963" t="str">
        <f t="shared" ref="K963:K1001" si="31">IF(E963&lt;18,"Under 18",IF(E963&lt;=25,"18-25",IF(E963&lt;=35,"26-35",IF(E963&lt;=45,"36-45",IF(E963&lt;=60,"46-60","60+")))))</f>
        <v>36-45</v>
      </c>
    </row>
    <row r="964" spans="1:11" x14ac:dyDescent="0.3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 t="str">
        <f t="shared" si="30"/>
        <v>14/11/2023</v>
      </c>
      <c r="K964" t="str">
        <f t="shared" si="31"/>
        <v>46-60</v>
      </c>
    </row>
    <row r="965" spans="1:11" x14ac:dyDescent="0.3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 t="str">
        <f t="shared" si="30"/>
        <v>31/01/2023</v>
      </c>
      <c r="K965" t="str">
        <f t="shared" si="31"/>
        <v>18-25</v>
      </c>
    </row>
    <row r="966" spans="1:11" x14ac:dyDescent="0.3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 t="str">
        <f t="shared" si="30"/>
        <v>09/11/2023</v>
      </c>
      <c r="K966" t="str">
        <f t="shared" si="31"/>
        <v>18-25</v>
      </c>
    </row>
    <row r="967" spans="1:11" x14ac:dyDescent="0.3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 t="str">
        <f t="shared" si="30"/>
        <v>20/02/2023</v>
      </c>
      <c r="K967" t="str">
        <f t="shared" si="31"/>
        <v>46-60</v>
      </c>
    </row>
    <row r="968" spans="1:11" x14ac:dyDescent="0.3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 t="str">
        <f t="shared" si="30"/>
        <v>17/04/2023</v>
      </c>
      <c r="K968" t="str">
        <f t="shared" si="31"/>
        <v>60+</v>
      </c>
    </row>
    <row r="969" spans="1:11" x14ac:dyDescent="0.3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 t="str">
        <f t="shared" si="30"/>
        <v>17/11/2023</v>
      </c>
      <c r="K969" t="str">
        <f t="shared" si="31"/>
        <v>46-60</v>
      </c>
    </row>
    <row r="970" spans="1:11" x14ac:dyDescent="0.3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 t="str">
        <f t="shared" si="30"/>
        <v>19/04/2023</v>
      </c>
      <c r="K970" t="str">
        <f t="shared" si="31"/>
        <v>36-45</v>
      </c>
    </row>
    <row r="971" spans="1:11" x14ac:dyDescent="0.3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 t="str">
        <f t="shared" si="30"/>
        <v>16/05/2023</v>
      </c>
      <c r="K971" t="str">
        <f t="shared" si="31"/>
        <v>46-60</v>
      </c>
    </row>
    <row r="972" spans="1:11" x14ac:dyDescent="0.3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 t="str">
        <f t="shared" si="30"/>
        <v>05/12/2023</v>
      </c>
      <c r="K972" t="str">
        <f t="shared" si="31"/>
        <v>26-35</v>
      </c>
    </row>
    <row r="973" spans="1:11" x14ac:dyDescent="0.3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 t="str">
        <f t="shared" si="30"/>
        <v>11/02/2023</v>
      </c>
      <c r="K973" t="str">
        <f t="shared" si="31"/>
        <v>46-60</v>
      </c>
    </row>
    <row r="974" spans="1:11" x14ac:dyDescent="0.3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 t="str">
        <f t="shared" si="30"/>
        <v>22/03/2023</v>
      </c>
      <c r="K974" t="str">
        <f t="shared" si="31"/>
        <v>46-60</v>
      </c>
    </row>
    <row r="975" spans="1:11" x14ac:dyDescent="0.3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 t="str">
        <f t="shared" si="30"/>
        <v>03/05/2023</v>
      </c>
      <c r="K975" t="str">
        <f t="shared" si="31"/>
        <v>46-60</v>
      </c>
    </row>
    <row r="976" spans="1:11" x14ac:dyDescent="0.3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 t="str">
        <f t="shared" si="30"/>
        <v>30/03/2023</v>
      </c>
      <c r="K976" t="str">
        <f t="shared" si="31"/>
        <v>46-60</v>
      </c>
    </row>
    <row r="977" spans="1:11" x14ac:dyDescent="0.3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 t="str">
        <f t="shared" si="30"/>
        <v>10/10/2023</v>
      </c>
      <c r="K977" t="str">
        <f t="shared" si="31"/>
        <v>46-60</v>
      </c>
    </row>
    <row r="978" spans="1:11" x14ac:dyDescent="0.3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 t="str">
        <f t="shared" si="30"/>
        <v>08/02/2023</v>
      </c>
      <c r="K978" t="str">
        <f t="shared" si="31"/>
        <v>26-35</v>
      </c>
    </row>
    <row r="979" spans="1:11" x14ac:dyDescent="0.3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 t="str">
        <f t="shared" si="30"/>
        <v>22/03/2023</v>
      </c>
      <c r="K979" t="str">
        <f t="shared" si="31"/>
        <v>46-60</v>
      </c>
    </row>
    <row r="980" spans="1:11" x14ac:dyDescent="0.3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 t="str">
        <f t="shared" si="30"/>
        <v>02/01/2023</v>
      </c>
      <c r="K980" t="str">
        <f t="shared" si="31"/>
        <v>18-25</v>
      </c>
    </row>
    <row r="981" spans="1:11" x14ac:dyDescent="0.3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 t="str">
        <f t="shared" si="30"/>
        <v>29/07/2023</v>
      </c>
      <c r="K981" t="str">
        <f t="shared" si="31"/>
        <v>26-35</v>
      </c>
    </row>
    <row r="982" spans="1:11" x14ac:dyDescent="0.3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 t="str">
        <f t="shared" si="30"/>
        <v>19/08/2023</v>
      </c>
      <c r="K982" t="str">
        <f t="shared" si="31"/>
        <v>26-35</v>
      </c>
    </row>
    <row r="983" spans="1:11" x14ac:dyDescent="0.3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 t="str">
        <f t="shared" si="30"/>
        <v>19/12/2023</v>
      </c>
      <c r="K983" t="str">
        <f t="shared" si="31"/>
        <v>46-60</v>
      </c>
    </row>
    <row r="984" spans="1:11" x14ac:dyDescent="0.3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 t="str">
        <f t="shared" si="30"/>
        <v>01/11/2023</v>
      </c>
      <c r="K984" t="str">
        <f t="shared" si="31"/>
        <v>26-35</v>
      </c>
    </row>
    <row r="985" spans="1:11" x14ac:dyDescent="0.3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 t="str">
        <f t="shared" si="30"/>
        <v>29/08/2023</v>
      </c>
      <c r="K985" t="str">
        <f t="shared" si="31"/>
        <v>46-60</v>
      </c>
    </row>
    <row r="986" spans="1:11" x14ac:dyDescent="0.3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 t="str">
        <f t="shared" si="30"/>
        <v>30/05/2023</v>
      </c>
      <c r="K986" t="str">
        <f t="shared" si="31"/>
        <v>18-25</v>
      </c>
    </row>
    <row r="987" spans="1:11" x14ac:dyDescent="0.3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 t="str">
        <f t="shared" si="30"/>
        <v>17/01/2023</v>
      </c>
      <c r="K987" t="str">
        <f t="shared" si="31"/>
        <v>46-60</v>
      </c>
    </row>
    <row r="988" spans="1:11" x14ac:dyDescent="0.3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 t="str">
        <f t="shared" si="30"/>
        <v>29/04/2023</v>
      </c>
      <c r="K988" t="str">
        <f t="shared" si="31"/>
        <v>26-35</v>
      </c>
    </row>
    <row r="989" spans="1:11" x14ac:dyDescent="0.3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 t="str">
        <f t="shared" si="30"/>
        <v>28/05/2023</v>
      </c>
      <c r="K989" t="str">
        <f t="shared" si="31"/>
        <v>60+</v>
      </c>
    </row>
    <row r="990" spans="1:11" x14ac:dyDescent="0.3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 t="str">
        <f t="shared" si="30"/>
        <v>28/12/2023</v>
      </c>
      <c r="K990" t="str">
        <f t="shared" si="31"/>
        <v>36-45</v>
      </c>
    </row>
    <row r="991" spans="1:11" x14ac:dyDescent="0.3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 t="str">
        <f t="shared" si="30"/>
        <v>25/05/2023</v>
      </c>
      <c r="K991" t="str">
        <f t="shared" si="31"/>
        <v>46-60</v>
      </c>
    </row>
    <row r="992" spans="1:11" x14ac:dyDescent="0.3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 t="str">
        <f t="shared" si="30"/>
        <v>26/12/2023</v>
      </c>
      <c r="K992" t="str">
        <f t="shared" si="31"/>
        <v>26-35</v>
      </c>
    </row>
    <row r="993" spans="1:11" x14ac:dyDescent="0.3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 t="str">
        <f t="shared" si="30"/>
        <v>21/08/2023</v>
      </c>
      <c r="K993" t="str">
        <f t="shared" si="31"/>
        <v>46-60</v>
      </c>
    </row>
    <row r="994" spans="1:11" x14ac:dyDescent="0.3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 t="str">
        <f t="shared" si="30"/>
        <v>06/02/2023</v>
      </c>
      <c r="K994" t="str">
        <f t="shared" si="31"/>
        <v>46-60</v>
      </c>
    </row>
    <row r="995" spans="1:11" x14ac:dyDescent="0.3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 t="str">
        <f t="shared" si="30"/>
        <v>18/12/2023</v>
      </c>
      <c r="K995" t="str">
        <f t="shared" si="31"/>
        <v>46-60</v>
      </c>
    </row>
    <row r="996" spans="1:11" x14ac:dyDescent="0.3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 t="str">
        <f t="shared" si="30"/>
        <v>30/04/2023</v>
      </c>
      <c r="K996" t="str">
        <f t="shared" si="31"/>
        <v>36-45</v>
      </c>
    </row>
    <row r="997" spans="1:11" x14ac:dyDescent="0.3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 t="str">
        <f t="shared" si="30"/>
        <v>16/05/2023</v>
      </c>
      <c r="K997" t="str">
        <f t="shared" si="31"/>
        <v>60+</v>
      </c>
    </row>
    <row r="998" spans="1:11" x14ac:dyDescent="0.3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 t="str">
        <f t="shared" si="30"/>
        <v>17/11/2023</v>
      </c>
      <c r="K998" t="str">
        <f t="shared" si="31"/>
        <v>46-60</v>
      </c>
    </row>
    <row r="999" spans="1:11" x14ac:dyDescent="0.3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 t="str">
        <f t="shared" si="30"/>
        <v>29/10/2023</v>
      </c>
      <c r="K999" t="str">
        <f t="shared" si="31"/>
        <v>18-25</v>
      </c>
    </row>
    <row r="1000" spans="1:11" x14ac:dyDescent="0.3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 t="str">
        <f t="shared" si="30"/>
        <v>05/12/2023</v>
      </c>
      <c r="K1000" t="str">
        <f t="shared" si="31"/>
        <v>36-45</v>
      </c>
    </row>
    <row r="1001" spans="1:11" x14ac:dyDescent="0.3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 t="str">
        <f t="shared" si="30"/>
        <v>12/04/2023</v>
      </c>
      <c r="K1001" t="str">
        <f t="shared" si="31"/>
        <v>46-60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B535-301A-48F2-AF01-347AECF7C7E8}">
  <dimension ref="A1:M5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9.88671875" bestFit="1" customWidth="1"/>
    <col min="5" max="5" width="12.5546875" bestFit="1" customWidth="1"/>
    <col min="6" max="6" width="19.33203125" customWidth="1"/>
    <col min="9" max="9" width="12.5546875" bestFit="1" customWidth="1"/>
    <col min="10" max="10" width="9.88671875" bestFit="1" customWidth="1"/>
    <col min="11" max="11" width="22.109375" customWidth="1"/>
    <col min="12" max="12" width="12" bestFit="1" customWidth="1"/>
    <col min="13" max="13" width="18.44140625" customWidth="1"/>
  </cols>
  <sheetData>
    <row r="1" spans="1:13" x14ac:dyDescent="0.3">
      <c r="A1" s="2" t="s">
        <v>1016</v>
      </c>
      <c r="B1" t="s">
        <v>1019</v>
      </c>
      <c r="E1" s="2" t="s">
        <v>1016</v>
      </c>
      <c r="F1" t="s">
        <v>1018</v>
      </c>
      <c r="I1" s="2" t="s">
        <v>1016</v>
      </c>
      <c r="J1" t="s">
        <v>1019</v>
      </c>
      <c r="K1" t="s">
        <v>1021</v>
      </c>
      <c r="L1" t="s">
        <v>1020</v>
      </c>
      <c r="M1" s="6" t="s">
        <v>1044</v>
      </c>
    </row>
    <row r="2" spans="1:13" x14ac:dyDescent="0.3">
      <c r="A2" s="3" t="s">
        <v>12</v>
      </c>
      <c r="B2">
        <v>143515</v>
      </c>
      <c r="E2" s="3" t="s">
        <v>12</v>
      </c>
      <c r="F2">
        <v>771</v>
      </c>
      <c r="I2" s="3" t="s">
        <v>12</v>
      </c>
      <c r="J2">
        <v>143515</v>
      </c>
      <c r="K2">
        <v>307</v>
      </c>
      <c r="L2">
        <v>0.95128725209460174</v>
      </c>
      <c r="M2">
        <f>GETPIVOTDATA("Total Amount",$A$1)/GETPIVOTDATA("Number of Transactions",$I$1)</f>
        <v>456</v>
      </c>
    </row>
    <row r="3" spans="1:13" x14ac:dyDescent="0.3">
      <c r="A3" s="3" t="s">
        <v>15</v>
      </c>
      <c r="B3">
        <v>155580</v>
      </c>
      <c r="E3" s="3" t="s">
        <v>15</v>
      </c>
      <c r="F3">
        <v>894</v>
      </c>
      <c r="I3" s="3" t="s">
        <v>15</v>
      </c>
      <c r="J3">
        <v>155580</v>
      </c>
      <c r="K3">
        <v>351</v>
      </c>
      <c r="L3">
        <v>0.89555331702403218</v>
      </c>
    </row>
    <row r="4" spans="1:13" x14ac:dyDescent="0.3">
      <c r="A4" s="3" t="s">
        <v>17</v>
      </c>
      <c r="B4">
        <v>156905</v>
      </c>
      <c r="E4" s="3" t="s">
        <v>17</v>
      </c>
      <c r="F4">
        <v>849</v>
      </c>
      <c r="I4" s="3" t="s">
        <v>17</v>
      </c>
      <c r="J4">
        <v>156905</v>
      </c>
      <c r="K4">
        <v>342</v>
      </c>
      <c r="L4">
        <v>0.89195672811819615</v>
      </c>
    </row>
    <row r="5" spans="1:13" x14ac:dyDescent="0.3">
      <c r="A5" s="3" t="s">
        <v>1017</v>
      </c>
      <c r="B5">
        <v>456000</v>
      </c>
      <c r="E5" s="3" t="s">
        <v>1017</v>
      </c>
      <c r="F5">
        <v>2514</v>
      </c>
      <c r="I5" s="3" t="s">
        <v>1017</v>
      </c>
      <c r="J5">
        <v>456000</v>
      </c>
      <c r="K5">
        <v>1000</v>
      </c>
      <c r="L5">
        <v>0.9110889110889111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C7F5-057E-4268-8037-F59587FD2DB8}">
  <dimension ref="H6:Q6"/>
  <sheetViews>
    <sheetView showGridLines="0" tabSelected="1" zoomScale="90" zoomScaleNormal="90" workbookViewId="0">
      <selection activeCell="H6" sqref="H6"/>
    </sheetView>
  </sheetViews>
  <sheetFormatPr defaultRowHeight="14.4" x14ac:dyDescent="0.3"/>
  <cols>
    <col min="4" max="4" width="11.21875" bestFit="1" customWidth="1"/>
    <col min="8" max="9" width="11.21875" bestFit="1" customWidth="1"/>
    <col min="11" max="11" width="11.21875" bestFit="1" customWidth="1"/>
  </cols>
  <sheetData>
    <row r="6" spans="8:17" ht="19.8" x14ac:dyDescent="0.4">
      <c r="H6" s="7">
        <v>456000</v>
      </c>
      <c r="Q6" s="5">
        <f>GETPIVOTDATA("Customer ID",Sheet6!$A$3)</f>
        <v>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E70F-0431-4540-9A5E-F99582DBAD54}">
  <dimension ref="A3:N52"/>
  <sheetViews>
    <sheetView workbookViewId="0">
      <selection activeCell="J4" sqref="J4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5.21875" bestFit="1" customWidth="1"/>
    <col min="4" max="4" width="10.77734375" bestFit="1" customWidth="1"/>
    <col min="6" max="6" width="19.33203125" bestFit="1" customWidth="1"/>
    <col min="7" max="7" width="15.5546875" bestFit="1" customWidth="1"/>
    <col min="8" max="8" width="7" bestFit="1" customWidth="1"/>
    <col min="9" max="9" width="10.77734375" bestFit="1" customWidth="1"/>
    <col min="10" max="10" width="19.21875" bestFit="1" customWidth="1"/>
    <col min="11" max="11" width="21.33203125" customWidth="1"/>
    <col min="12" max="12" width="12.109375" customWidth="1"/>
    <col min="13" max="13" width="15.109375" customWidth="1"/>
    <col min="14" max="14" width="20.21875" customWidth="1"/>
  </cols>
  <sheetData>
    <row r="3" spans="1:14" x14ac:dyDescent="0.3">
      <c r="A3" s="2" t="s">
        <v>1023</v>
      </c>
      <c r="B3" s="2" t="s">
        <v>1022</v>
      </c>
      <c r="F3" s="2" t="s">
        <v>1023</v>
      </c>
      <c r="G3" s="2" t="s">
        <v>1022</v>
      </c>
      <c r="M3" s="2" t="s">
        <v>1016</v>
      </c>
      <c r="N3" t="s">
        <v>1015</v>
      </c>
    </row>
    <row r="4" spans="1:14" x14ac:dyDescent="0.3">
      <c r="A4" s="2" t="s">
        <v>1016</v>
      </c>
      <c r="B4" t="s">
        <v>14</v>
      </c>
      <c r="C4" t="s">
        <v>11</v>
      </c>
      <c r="D4" t="s">
        <v>1017</v>
      </c>
      <c r="F4" s="2" t="s">
        <v>1016</v>
      </c>
      <c r="G4" t="s">
        <v>14</v>
      </c>
      <c r="H4" t="s">
        <v>11</v>
      </c>
      <c r="I4" t="s">
        <v>1017</v>
      </c>
      <c r="M4" s="3" t="s">
        <v>1024</v>
      </c>
    </row>
    <row r="5" spans="1:14" x14ac:dyDescent="0.3">
      <c r="A5" s="3">
        <v>18</v>
      </c>
      <c r="B5">
        <v>13</v>
      </c>
      <c r="C5">
        <v>8</v>
      </c>
      <c r="D5">
        <v>21</v>
      </c>
      <c r="F5" s="3" t="s">
        <v>1038</v>
      </c>
      <c r="G5" s="4">
        <v>8.1000000000000003E-2</v>
      </c>
      <c r="H5" s="4">
        <v>8.7999999999999995E-2</v>
      </c>
      <c r="I5" s="4">
        <v>0.16900000000000001</v>
      </c>
      <c r="M5" s="3" t="s">
        <v>1025</v>
      </c>
      <c r="N5">
        <v>36980</v>
      </c>
    </row>
    <row r="6" spans="1:14" x14ac:dyDescent="0.3">
      <c r="A6" s="3">
        <v>19</v>
      </c>
      <c r="B6">
        <v>11</v>
      </c>
      <c r="C6">
        <v>10</v>
      </c>
      <c r="D6">
        <v>21</v>
      </c>
      <c r="F6" s="3" t="s">
        <v>1039</v>
      </c>
      <c r="G6" s="4">
        <v>0.107</v>
      </c>
      <c r="H6" s="4">
        <v>9.8000000000000004E-2</v>
      </c>
      <c r="I6" s="4">
        <v>0.20499999999999999</v>
      </c>
      <c r="M6" s="3" t="s">
        <v>1026</v>
      </c>
      <c r="N6">
        <v>44060</v>
      </c>
    </row>
    <row r="7" spans="1:14" x14ac:dyDescent="0.3">
      <c r="A7" s="3">
        <v>20</v>
      </c>
      <c r="B7">
        <v>12</v>
      </c>
      <c r="C7">
        <v>9</v>
      </c>
      <c r="D7">
        <v>21</v>
      </c>
      <c r="F7" s="3" t="s">
        <v>1040</v>
      </c>
      <c r="G7" s="4">
        <v>0.107</v>
      </c>
      <c r="H7" s="4">
        <v>9.5000000000000001E-2</v>
      </c>
      <c r="I7" s="4">
        <v>0.20200000000000001</v>
      </c>
      <c r="M7" s="3" t="s">
        <v>1027</v>
      </c>
      <c r="N7">
        <v>28990</v>
      </c>
    </row>
    <row r="8" spans="1:14" x14ac:dyDescent="0.3">
      <c r="A8" s="3">
        <v>21</v>
      </c>
      <c r="B8">
        <v>7</v>
      </c>
      <c r="C8">
        <v>13</v>
      </c>
      <c r="D8">
        <v>20</v>
      </c>
      <c r="F8" s="3" t="s">
        <v>1041</v>
      </c>
      <c r="G8" s="4">
        <v>0.17299999999999999</v>
      </c>
      <c r="H8" s="4">
        <v>0.158</v>
      </c>
      <c r="I8" s="4">
        <v>0.33100000000000002</v>
      </c>
      <c r="M8" s="3" t="s">
        <v>1028</v>
      </c>
      <c r="N8">
        <v>33870</v>
      </c>
    </row>
    <row r="9" spans="1:14" x14ac:dyDescent="0.3">
      <c r="A9" s="3">
        <v>22</v>
      </c>
      <c r="B9">
        <v>14</v>
      </c>
      <c r="C9">
        <v>13</v>
      </c>
      <c r="D9">
        <v>27</v>
      </c>
      <c r="F9" s="3" t="s">
        <v>1042</v>
      </c>
      <c r="G9" s="4">
        <v>4.2000000000000003E-2</v>
      </c>
      <c r="H9" s="4">
        <v>5.0999999999999997E-2</v>
      </c>
      <c r="I9" s="4">
        <v>9.2999999999999999E-2</v>
      </c>
      <c r="M9" s="3" t="s">
        <v>1029</v>
      </c>
      <c r="N9">
        <v>53150</v>
      </c>
    </row>
    <row r="10" spans="1:14" x14ac:dyDescent="0.3">
      <c r="A10" s="3">
        <v>23</v>
      </c>
      <c r="B10">
        <v>10</v>
      </c>
      <c r="C10">
        <v>14</v>
      </c>
      <c r="D10">
        <v>24</v>
      </c>
      <c r="F10" s="3" t="s">
        <v>1017</v>
      </c>
      <c r="G10" s="4">
        <v>0.51</v>
      </c>
      <c r="H10" s="4">
        <v>0.49</v>
      </c>
      <c r="I10" s="4">
        <v>1</v>
      </c>
      <c r="M10" s="3" t="s">
        <v>1030</v>
      </c>
      <c r="N10">
        <v>36715</v>
      </c>
    </row>
    <row r="11" spans="1:14" x14ac:dyDescent="0.3">
      <c r="A11" s="3">
        <v>24</v>
      </c>
      <c r="B11">
        <v>5</v>
      </c>
      <c r="C11">
        <v>10</v>
      </c>
      <c r="D11">
        <v>15</v>
      </c>
      <c r="M11" s="3" t="s">
        <v>1031</v>
      </c>
      <c r="N11">
        <v>35465</v>
      </c>
    </row>
    <row r="12" spans="1:14" x14ac:dyDescent="0.3">
      <c r="A12" s="3">
        <v>25</v>
      </c>
      <c r="B12">
        <v>9</v>
      </c>
      <c r="C12">
        <v>11</v>
      </c>
      <c r="D12">
        <v>20</v>
      </c>
      <c r="M12" s="3" t="s">
        <v>1032</v>
      </c>
      <c r="N12">
        <v>36960</v>
      </c>
    </row>
    <row r="13" spans="1:14" x14ac:dyDescent="0.3">
      <c r="A13" s="3">
        <v>26</v>
      </c>
      <c r="B13">
        <v>15</v>
      </c>
      <c r="C13">
        <v>7</v>
      </c>
      <c r="D13">
        <v>22</v>
      </c>
      <c r="M13" s="3" t="s">
        <v>1033</v>
      </c>
      <c r="N13">
        <v>23620</v>
      </c>
    </row>
    <row r="14" spans="1:14" x14ac:dyDescent="0.3">
      <c r="A14" s="3">
        <v>27</v>
      </c>
      <c r="B14">
        <v>13</v>
      </c>
      <c r="C14">
        <v>10</v>
      </c>
      <c r="D14">
        <v>23</v>
      </c>
      <c r="M14" s="3" t="s">
        <v>1034</v>
      </c>
      <c r="N14">
        <v>46580</v>
      </c>
    </row>
    <row r="15" spans="1:14" x14ac:dyDescent="0.3">
      <c r="A15" s="3">
        <v>28</v>
      </c>
      <c r="B15">
        <v>14</v>
      </c>
      <c r="C15">
        <v>7</v>
      </c>
      <c r="D15">
        <v>21</v>
      </c>
      <c r="M15" s="3" t="s">
        <v>1035</v>
      </c>
      <c r="N15">
        <v>34920</v>
      </c>
    </row>
    <row r="16" spans="1:14" x14ac:dyDescent="0.3">
      <c r="A16" s="3">
        <v>29</v>
      </c>
      <c r="B16">
        <v>6</v>
      </c>
      <c r="C16">
        <v>10</v>
      </c>
      <c r="D16">
        <v>16</v>
      </c>
      <c r="M16" s="3" t="s">
        <v>1036</v>
      </c>
      <c r="N16">
        <v>44690</v>
      </c>
    </row>
    <row r="17" spans="1:14" x14ac:dyDescent="0.3">
      <c r="A17" s="3">
        <v>30</v>
      </c>
      <c r="B17">
        <v>10</v>
      </c>
      <c r="C17">
        <v>12</v>
      </c>
      <c r="D17">
        <v>22</v>
      </c>
      <c r="I17" s="2" t="s">
        <v>1016</v>
      </c>
      <c r="J17" t="s">
        <v>1015</v>
      </c>
      <c r="K17" t="s">
        <v>1043</v>
      </c>
      <c r="M17" s="3" t="s">
        <v>1017</v>
      </c>
      <c r="N17">
        <v>456000</v>
      </c>
    </row>
    <row r="18" spans="1:14" x14ac:dyDescent="0.3">
      <c r="A18" s="3">
        <v>31</v>
      </c>
      <c r="B18">
        <v>6</v>
      </c>
      <c r="C18">
        <v>16</v>
      </c>
      <c r="D18">
        <v>22</v>
      </c>
      <c r="I18" s="3" t="s">
        <v>17</v>
      </c>
      <c r="J18">
        <v>156905</v>
      </c>
      <c r="K18" s="4">
        <v>0.34408991228070174</v>
      </c>
    </row>
    <row r="19" spans="1:14" x14ac:dyDescent="0.3">
      <c r="A19" s="3">
        <v>32</v>
      </c>
      <c r="B19">
        <v>9</v>
      </c>
      <c r="C19">
        <v>10</v>
      </c>
      <c r="D19">
        <v>19</v>
      </c>
      <c r="I19" s="3" t="s">
        <v>15</v>
      </c>
      <c r="J19">
        <v>155580</v>
      </c>
      <c r="K19" s="4">
        <v>0.34118421052631581</v>
      </c>
    </row>
    <row r="20" spans="1:14" x14ac:dyDescent="0.3">
      <c r="A20" s="3">
        <v>33</v>
      </c>
      <c r="B20">
        <v>6</v>
      </c>
      <c r="C20">
        <v>4</v>
      </c>
      <c r="D20">
        <v>10</v>
      </c>
      <c r="I20" s="3" t="s">
        <v>12</v>
      </c>
      <c r="J20">
        <v>143515</v>
      </c>
      <c r="K20" s="4">
        <v>0.31472587719298245</v>
      </c>
    </row>
    <row r="21" spans="1:14" x14ac:dyDescent="0.3">
      <c r="A21" s="3">
        <v>34</v>
      </c>
      <c r="B21">
        <v>14</v>
      </c>
      <c r="C21">
        <v>14</v>
      </c>
      <c r="D21">
        <v>28</v>
      </c>
      <c r="I21" s="3" t="s">
        <v>1017</v>
      </c>
      <c r="J21">
        <v>456000</v>
      </c>
      <c r="K21" s="4">
        <v>1</v>
      </c>
    </row>
    <row r="22" spans="1:14" x14ac:dyDescent="0.3">
      <c r="A22" s="3">
        <v>35</v>
      </c>
      <c r="B22">
        <v>14</v>
      </c>
      <c r="C22">
        <v>8</v>
      </c>
      <c r="D22">
        <v>22</v>
      </c>
    </row>
    <row r="23" spans="1:14" x14ac:dyDescent="0.3">
      <c r="A23" s="3">
        <v>36</v>
      </c>
      <c r="B23">
        <v>8</v>
      </c>
      <c r="C23">
        <v>7</v>
      </c>
      <c r="D23">
        <v>15</v>
      </c>
    </row>
    <row r="24" spans="1:14" x14ac:dyDescent="0.3">
      <c r="A24" s="3">
        <v>37</v>
      </c>
      <c r="B24">
        <v>8</v>
      </c>
      <c r="C24">
        <v>8</v>
      </c>
      <c r="D24">
        <v>16</v>
      </c>
    </row>
    <row r="25" spans="1:14" x14ac:dyDescent="0.3">
      <c r="A25" s="3">
        <v>38</v>
      </c>
      <c r="B25">
        <v>9</v>
      </c>
      <c r="C25">
        <v>10</v>
      </c>
      <c r="D25">
        <v>19</v>
      </c>
    </row>
    <row r="26" spans="1:14" x14ac:dyDescent="0.3">
      <c r="A26" s="3">
        <v>39</v>
      </c>
      <c r="B26">
        <v>9</v>
      </c>
      <c r="C26">
        <v>9</v>
      </c>
      <c r="D26">
        <v>18</v>
      </c>
    </row>
    <row r="27" spans="1:14" x14ac:dyDescent="0.3">
      <c r="A27" s="3">
        <v>40</v>
      </c>
      <c r="B27">
        <v>14</v>
      </c>
      <c r="C27">
        <v>10</v>
      </c>
      <c r="D27">
        <v>24</v>
      </c>
    </row>
    <row r="28" spans="1:14" x14ac:dyDescent="0.3">
      <c r="A28" s="3">
        <v>41</v>
      </c>
      <c r="B28">
        <v>8</v>
      </c>
      <c r="C28">
        <v>13</v>
      </c>
      <c r="D28">
        <v>21</v>
      </c>
    </row>
    <row r="29" spans="1:14" x14ac:dyDescent="0.3">
      <c r="A29" s="3">
        <v>42</v>
      </c>
      <c r="B29">
        <v>15</v>
      </c>
      <c r="C29">
        <v>11</v>
      </c>
      <c r="D29">
        <v>26</v>
      </c>
    </row>
    <row r="30" spans="1:14" x14ac:dyDescent="0.3">
      <c r="A30" s="3">
        <v>43</v>
      </c>
      <c r="B30">
        <v>19</v>
      </c>
      <c r="C30">
        <v>12</v>
      </c>
      <c r="D30">
        <v>31</v>
      </c>
    </row>
    <row r="31" spans="1:14" x14ac:dyDescent="0.3">
      <c r="A31" s="3">
        <v>44</v>
      </c>
      <c r="B31">
        <v>8</v>
      </c>
      <c r="C31">
        <v>7</v>
      </c>
      <c r="D31">
        <v>15</v>
      </c>
    </row>
    <row r="32" spans="1:14" x14ac:dyDescent="0.3">
      <c r="A32" s="3">
        <v>45</v>
      </c>
      <c r="B32">
        <v>9</v>
      </c>
      <c r="C32">
        <v>8</v>
      </c>
      <c r="D32">
        <v>17</v>
      </c>
    </row>
    <row r="33" spans="1:4" x14ac:dyDescent="0.3">
      <c r="A33" s="3">
        <v>46</v>
      </c>
      <c r="B33">
        <v>16</v>
      </c>
      <c r="C33">
        <v>9</v>
      </c>
      <c r="D33">
        <v>25</v>
      </c>
    </row>
    <row r="34" spans="1:4" x14ac:dyDescent="0.3">
      <c r="A34" s="3">
        <v>47</v>
      </c>
      <c r="B34">
        <v>15</v>
      </c>
      <c r="C34">
        <v>11</v>
      </c>
      <c r="D34">
        <v>26</v>
      </c>
    </row>
    <row r="35" spans="1:4" x14ac:dyDescent="0.3">
      <c r="A35" s="3">
        <v>48</v>
      </c>
      <c r="B35">
        <v>10</v>
      </c>
      <c r="C35">
        <v>8</v>
      </c>
      <c r="D35">
        <v>18</v>
      </c>
    </row>
    <row r="36" spans="1:4" x14ac:dyDescent="0.3">
      <c r="A36" s="3">
        <v>49</v>
      </c>
      <c r="B36">
        <v>7</v>
      </c>
      <c r="C36">
        <v>12</v>
      </c>
      <c r="D36">
        <v>19</v>
      </c>
    </row>
    <row r="37" spans="1:4" x14ac:dyDescent="0.3">
      <c r="A37" s="3">
        <v>50</v>
      </c>
      <c r="B37">
        <v>9</v>
      </c>
      <c r="C37">
        <v>14</v>
      </c>
      <c r="D37">
        <v>23</v>
      </c>
    </row>
    <row r="38" spans="1:4" x14ac:dyDescent="0.3">
      <c r="A38" s="3">
        <v>51</v>
      </c>
      <c r="B38">
        <v>17</v>
      </c>
      <c r="C38">
        <v>13</v>
      </c>
      <c r="D38">
        <v>30</v>
      </c>
    </row>
    <row r="39" spans="1:4" x14ac:dyDescent="0.3">
      <c r="A39" s="3">
        <v>52</v>
      </c>
      <c r="B39">
        <v>13</v>
      </c>
      <c r="C39">
        <v>9</v>
      </c>
      <c r="D39">
        <v>22</v>
      </c>
    </row>
    <row r="40" spans="1:4" x14ac:dyDescent="0.3">
      <c r="A40" s="3">
        <v>53</v>
      </c>
      <c r="B40">
        <v>8</v>
      </c>
      <c r="C40">
        <v>9</v>
      </c>
      <c r="D40">
        <v>17</v>
      </c>
    </row>
    <row r="41" spans="1:4" x14ac:dyDescent="0.3">
      <c r="A41" s="3">
        <v>54</v>
      </c>
      <c r="B41">
        <v>11</v>
      </c>
      <c r="C41">
        <v>17</v>
      </c>
      <c r="D41">
        <v>28</v>
      </c>
    </row>
    <row r="42" spans="1:4" x14ac:dyDescent="0.3">
      <c r="A42" s="3">
        <v>55</v>
      </c>
      <c r="B42">
        <v>13</v>
      </c>
      <c r="C42">
        <v>8</v>
      </c>
      <c r="D42">
        <v>21</v>
      </c>
    </row>
    <row r="43" spans="1:4" x14ac:dyDescent="0.3">
      <c r="A43" s="3">
        <v>56</v>
      </c>
      <c r="B43">
        <v>10</v>
      </c>
      <c r="C43">
        <v>9</v>
      </c>
      <c r="D43">
        <v>19</v>
      </c>
    </row>
    <row r="44" spans="1:4" x14ac:dyDescent="0.3">
      <c r="A44" s="3">
        <v>57</v>
      </c>
      <c r="B44">
        <v>14</v>
      </c>
      <c r="C44">
        <v>16</v>
      </c>
      <c r="D44">
        <v>30</v>
      </c>
    </row>
    <row r="45" spans="1:4" x14ac:dyDescent="0.3">
      <c r="A45" s="3">
        <v>58</v>
      </c>
      <c r="B45">
        <v>8</v>
      </c>
      <c r="C45">
        <v>6</v>
      </c>
      <c r="D45">
        <v>14</v>
      </c>
    </row>
    <row r="46" spans="1:4" x14ac:dyDescent="0.3">
      <c r="A46" s="3">
        <v>59</v>
      </c>
      <c r="B46">
        <v>9</v>
      </c>
      <c r="C46">
        <v>8</v>
      </c>
      <c r="D46">
        <v>17</v>
      </c>
    </row>
    <row r="47" spans="1:4" x14ac:dyDescent="0.3">
      <c r="A47" s="3">
        <v>60</v>
      </c>
      <c r="B47">
        <v>13</v>
      </c>
      <c r="C47">
        <v>9</v>
      </c>
      <c r="D47">
        <v>22</v>
      </c>
    </row>
    <row r="48" spans="1:4" x14ac:dyDescent="0.3">
      <c r="A48" s="3">
        <v>61</v>
      </c>
      <c r="B48">
        <v>6</v>
      </c>
      <c r="C48">
        <v>12</v>
      </c>
      <c r="D48">
        <v>18</v>
      </c>
    </row>
    <row r="49" spans="1:4" x14ac:dyDescent="0.3">
      <c r="A49" s="3">
        <v>62</v>
      </c>
      <c r="B49">
        <v>11</v>
      </c>
      <c r="C49">
        <v>16</v>
      </c>
      <c r="D49">
        <v>27</v>
      </c>
    </row>
    <row r="50" spans="1:4" x14ac:dyDescent="0.3">
      <c r="A50" s="3">
        <v>63</v>
      </c>
      <c r="B50">
        <v>6</v>
      </c>
      <c r="C50">
        <v>11</v>
      </c>
      <c r="D50">
        <v>17</v>
      </c>
    </row>
    <row r="51" spans="1:4" x14ac:dyDescent="0.3">
      <c r="A51" s="3">
        <v>64</v>
      </c>
      <c r="B51">
        <v>19</v>
      </c>
      <c r="C51">
        <v>12</v>
      </c>
      <c r="D51">
        <v>31</v>
      </c>
    </row>
    <row r="52" spans="1:4" x14ac:dyDescent="0.3">
      <c r="A52" s="3" t="s">
        <v>1017</v>
      </c>
      <c r="B52">
        <v>510</v>
      </c>
      <c r="C52">
        <v>490</v>
      </c>
      <c r="D5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PIVOT CHART</vt:lpstr>
      <vt:lpstr>DASHBOARD (CHARTS)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UDDYBON</dc:creator>
  <cp:lastModifiedBy>UDDYBON</cp:lastModifiedBy>
  <dcterms:created xsi:type="dcterms:W3CDTF">2026-03-25T21:43:49Z</dcterms:created>
  <dcterms:modified xsi:type="dcterms:W3CDTF">2026-05-22T00:15:10Z</dcterms:modified>
</cp:coreProperties>
</file>